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biii\Desktop\"/>
    </mc:Choice>
  </mc:AlternateContent>
  <xr:revisionPtr revIDLastSave="0" documentId="8_{3F5C90AE-A93D-44EB-8589-7C8539C52908}" xr6:coauthVersionLast="47" xr6:coauthVersionMax="47" xr10:uidLastSave="{00000000-0000-0000-0000-000000000000}"/>
  <bookViews>
    <workbookView xWindow="-108" yWindow="-108" windowWidth="23256" windowHeight="12576" xr2:uid="{57319E93-0466-4994-B167-6C3F90D85E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33" i="1" l="1"/>
  <c r="F833" i="1"/>
  <c r="E833" i="1"/>
  <c r="G831" i="1"/>
  <c r="G830" i="1"/>
  <c r="F818" i="1"/>
  <c r="G818" i="1" s="1"/>
  <c r="E818" i="1"/>
  <c r="F817" i="1"/>
  <c r="G806" i="1"/>
  <c r="F806" i="1"/>
  <c r="E806" i="1"/>
  <c r="G804" i="1"/>
  <c r="G803" i="1"/>
  <c r="G802" i="1"/>
  <c r="G801" i="1"/>
  <c r="F789" i="1"/>
  <c r="G789" i="1" s="1"/>
  <c r="E789" i="1"/>
  <c r="G787" i="1"/>
  <c r="F775" i="1"/>
  <c r="E775" i="1"/>
  <c r="G775" i="1" s="1"/>
  <c r="G773" i="1"/>
  <c r="G772" i="1"/>
  <c r="G771" i="1"/>
  <c r="E759" i="1"/>
  <c r="F758" i="1"/>
  <c r="F759" i="1" s="1"/>
  <c r="G742" i="1"/>
  <c r="F742" i="1"/>
  <c r="E742" i="1"/>
  <c r="G740" i="1"/>
  <c r="G739" i="1"/>
  <c r="G738" i="1"/>
  <c r="G737" i="1"/>
  <c r="G736" i="1"/>
  <c r="G735" i="1"/>
  <c r="G734" i="1"/>
  <c r="E722" i="1"/>
  <c r="F721" i="1" s="1"/>
  <c r="F722" i="1" s="1"/>
  <c r="F712" i="1"/>
  <c r="E712" i="1"/>
  <c r="F711" i="1"/>
  <c r="E702" i="1"/>
  <c r="F701" i="1" s="1"/>
  <c r="F702" i="1" s="1"/>
  <c r="E692" i="1"/>
  <c r="F691" i="1" s="1"/>
  <c r="F692" i="1" s="1"/>
  <c r="E682" i="1"/>
  <c r="F681" i="1" s="1"/>
  <c r="F682" i="1" s="1"/>
  <c r="E672" i="1"/>
  <c r="F671" i="1"/>
  <c r="F672" i="1" s="1"/>
  <c r="E662" i="1"/>
  <c r="F661" i="1"/>
  <c r="F662" i="1" s="1"/>
  <c r="E652" i="1"/>
  <c r="F651" i="1"/>
  <c r="F652" i="1" s="1"/>
  <c r="E642" i="1"/>
  <c r="F641" i="1" s="1"/>
  <c r="F642" i="1" s="1"/>
  <c r="F632" i="1"/>
  <c r="E632" i="1"/>
  <c r="F631" i="1"/>
  <c r="A623" i="1"/>
  <c r="A633" i="1" s="1"/>
  <c r="A643" i="1" s="1"/>
  <c r="A653" i="1" s="1"/>
  <c r="A663" i="1" s="1"/>
  <c r="A673" i="1" s="1"/>
  <c r="A683" i="1" s="1"/>
  <c r="A693" i="1" s="1"/>
  <c r="A703" i="1" s="1"/>
  <c r="A713" i="1" s="1"/>
  <c r="A723" i="1" s="1"/>
  <c r="E622" i="1"/>
  <c r="F621" i="1" s="1"/>
  <c r="F622" i="1" s="1"/>
  <c r="E616" i="1"/>
  <c r="E626" i="1" s="1"/>
  <c r="E636" i="1" s="1"/>
  <c r="E646" i="1" s="1"/>
  <c r="E656" i="1" s="1"/>
  <c r="E666" i="1" s="1"/>
  <c r="E676" i="1" s="1"/>
  <c r="E686" i="1" s="1"/>
  <c r="E696" i="1" s="1"/>
  <c r="E706" i="1" s="1"/>
  <c r="E716" i="1" s="1"/>
  <c r="E612" i="1"/>
  <c r="F611" i="1"/>
  <c r="F612" i="1" s="1"/>
  <c r="G602" i="1"/>
  <c r="F602" i="1"/>
  <c r="E602" i="1"/>
  <c r="G600" i="1"/>
  <c r="F588" i="1"/>
  <c r="E588" i="1"/>
  <c r="F587" i="1"/>
  <c r="F577" i="1"/>
  <c r="E577" i="1"/>
  <c r="F576" i="1"/>
  <c r="F566" i="1"/>
  <c r="E566" i="1"/>
  <c r="F565" i="1"/>
  <c r="F555" i="1"/>
  <c r="E555" i="1"/>
  <c r="F554" i="1"/>
  <c r="F544" i="1"/>
  <c r="E544" i="1"/>
  <c r="F543" i="1"/>
  <c r="F533" i="1"/>
  <c r="E533" i="1"/>
  <c r="F532" i="1"/>
  <c r="E527" i="1"/>
  <c r="E537" i="1" s="1"/>
  <c r="E548" i="1" s="1"/>
  <c r="E559" i="1" s="1"/>
  <c r="E570" i="1" s="1"/>
  <c r="E581" i="1" s="1"/>
  <c r="F523" i="1"/>
  <c r="E523" i="1"/>
  <c r="F522" i="1"/>
  <c r="E515" i="1"/>
  <c r="F514" i="1" s="1"/>
  <c r="F515" i="1" s="1"/>
  <c r="E507" i="1"/>
  <c r="E499" i="1"/>
  <c r="E491" i="1"/>
  <c r="E483" i="1"/>
  <c r="F482" i="1"/>
  <c r="F483" i="1" s="1"/>
  <c r="F475" i="1"/>
  <c r="E475" i="1"/>
  <c r="G475" i="1" s="1"/>
  <c r="F464" i="1"/>
  <c r="E464" i="1"/>
  <c r="F463" i="1"/>
  <c r="F453" i="1"/>
  <c r="E453" i="1"/>
  <c r="F452" i="1"/>
  <c r="F442" i="1"/>
  <c r="E442" i="1"/>
  <c r="F441" i="1"/>
  <c r="F431" i="1"/>
  <c r="E431" i="1"/>
  <c r="F430" i="1"/>
  <c r="F420" i="1"/>
  <c r="E420" i="1"/>
  <c r="F419" i="1"/>
  <c r="F409" i="1"/>
  <c r="E409" i="1"/>
  <c r="F408" i="1"/>
  <c r="E403" i="1"/>
  <c r="E413" i="1" s="1"/>
  <c r="E424" i="1" s="1"/>
  <c r="E435" i="1" s="1"/>
  <c r="E446" i="1" s="1"/>
  <c r="E457" i="1" s="1"/>
  <c r="F399" i="1"/>
  <c r="E399" i="1"/>
  <c r="F398" i="1"/>
  <c r="E391" i="1"/>
  <c r="F390" i="1" s="1"/>
  <c r="F391" i="1" s="1"/>
  <c r="E383" i="1"/>
  <c r="F382" i="1"/>
  <c r="F383" i="1" s="1"/>
  <c r="F375" i="1"/>
  <c r="E375" i="1"/>
  <c r="G375" i="1" s="1"/>
  <c r="G373" i="1"/>
  <c r="G372" i="1"/>
  <c r="E360" i="1"/>
  <c r="E345" i="1"/>
  <c r="F344" i="1"/>
  <c r="F345" i="1" s="1"/>
  <c r="E337" i="1"/>
  <c r="F336" i="1"/>
  <c r="F337" i="1" s="1"/>
  <c r="E332" i="1"/>
  <c r="E328" i="1"/>
  <c r="F327" i="1"/>
  <c r="F328" i="1" s="1"/>
  <c r="G320" i="1"/>
  <c r="F320" i="1"/>
  <c r="E320" i="1"/>
  <c r="G318" i="1"/>
  <c r="G317" i="1"/>
  <c r="G316" i="1"/>
  <c r="E304" i="1"/>
  <c r="F291" i="1"/>
  <c r="E291" i="1"/>
  <c r="G291" i="1" s="1"/>
  <c r="G289" i="1"/>
  <c r="G288" i="1"/>
  <c r="G287" i="1"/>
  <c r="E275" i="1"/>
  <c r="F274" i="1"/>
  <c r="F275" i="1" s="1"/>
  <c r="G275" i="1" s="1"/>
  <c r="E258" i="1"/>
  <c r="F257" i="1"/>
  <c r="F258" i="1" s="1"/>
  <c r="G258" i="1" s="1"/>
  <c r="E250" i="1"/>
  <c r="F249" i="1"/>
  <c r="F250" i="1" s="1"/>
  <c r="G250" i="1" s="1"/>
  <c r="G242" i="1"/>
  <c r="F242" i="1"/>
  <c r="E242" i="1"/>
  <c r="G240" i="1"/>
  <c r="E228" i="1"/>
  <c r="F227" i="1"/>
  <c r="F228" i="1" s="1"/>
  <c r="G228" i="1" s="1"/>
  <c r="E219" i="1"/>
  <c r="F218" i="1"/>
  <c r="F219" i="1" s="1"/>
  <c r="G219" i="1" s="1"/>
  <c r="E210" i="1"/>
  <c r="F201" i="1"/>
  <c r="G201" i="1" s="1"/>
  <c r="E201" i="1"/>
  <c r="F200" i="1"/>
  <c r="E192" i="1"/>
  <c r="F191" i="1"/>
  <c r="F192" i="1" s="1"/>
  <c r="G192" i="1" s="1"/>
  <c r="E183" i="1"/>
  <c r="F182" i="1"/>
  <c r="F183" i="1" s="1"/>
  <c r="E174" i="1"/>
  <c r="E165" i="1"/>
  <c r="F164" i="1" s="1"/>
  <c r="F165" i="1" s="1"/>
  <c r="G165" i="1" s="1"/>
  <c r="E160" i="1"/>
  <c r="E169" i="1" s="1"/>
  <c r="E178" i="1" s="1"/>
  <c r="E187" i="1" s="1"/>
  <c r="E196" i="1" s="1"/>
  <c r="E205" i="1" s="1"/>
  <c r="E214" i="1" s="1"/>
  <c r="E223" i="1" s="1"/>
  <c r="E156" i="1"/>
  <c r="F155" i="1"/>
  <c r="F156" i="1" s="1"/>
  <c r="G156" i="1" s="1"/>
  <c r="G147" i="1"/>
  <c r="F147" i="1"/>
  <c r="E147" i="1"/>
  <c r="G145" i="1"/>
  <c r="F133" i="1"/>
  <c r="E133" i="1"/>
  <c r="F132" i="1"/>
  <c r="E125" i="1"/>
  <c r="F124" i="1" s="1"/>
  <c r="F125" i="1" s="1"/>
  <c r="G125" i="1" s="1"/>
  <c r="F117" i="1"/>
  <c r="E117" i="1"/>
  <c r="F116" i="1"/>
  <c r="E107" i="1"/>
  <c r="F106" i="1"/>
  <c r="F107" i="1" s="1"/>
  <c r="E97" i="1"/>
  <c r="F96" i="1"/>
  <c r="F97" i="1" s="1"/>
  <c r="E87" i="1"/>
  <c r="F86" i="1" s="1"/>
  <c r="F87" i="1" s="1"/>
  <c r="E77" i="1"/>
  <c r="F76" i="1" s="1"/>
  <c r="F77" i="1" s="1"/>
  <c r="E67" i="1"/>
  <c r="F66" i="1"/>
  <c r="F67" i="1" s="1"/>
  <c r="E57" i="1"/>
  <c r="F56" i="1"/>
  <c r="F57" i="1" s="1"/>
  <c r="E47" i="1"/>
  <c r="F46" i="1" s="1"/>
  <c r="F47" i="1" s="1"/>
  <c r="F37" i="1"/>
  <c r="E37" i="1"/>
  <c r="F36" i="1"/>
  <c r="A28" i="1"/>
  <c r="A38" i="1" s="1"/>
  <c r="A48" i="1" s="1"/>
  <c r="A58" i="1" s="1"/>
  <c r="A68" i="1" s="1"/>
  <c r="A78" i="1" s="1"/>
  <c r="A88" i="1" s="1"/>
  <c r="A98" i="1" s="1"/>
  <c r="A108" i="1" s="1"/>
  <c r="A118" i="1" s="1"/>
  <c r="E27" i="1"/>
  <c r="F26" i="1"/>
  <c r="F27" i="1" s="1"/>
  <c r="E21" i="1"/>
  <c r="E31" i="1" s="1"/>
  <c r="E41" i="1" s="1"/>
  <c r="E51" i="1" s="1"/>
  <c r="E61" i="1" s="1"/>
  <c r="E71" i="1" s="1"/>
  <c r="E81" i="1" s="1"/>
  <c r="E91" i="1" s="1"/>
  <c r="E101" i="1" s="1"/>
  <c r="E111" i="1" s="1"/>
  <c r="A18" i="1"/>
  <c r="E17" i="1"/>
  <c r="F16" i="1"/>
  <c r="F17" i="1" s="1"/>
  <c r="E12" i="1"/>
  <c r="E8" i="1"/>
  <c r="F7" i="1"/>
  <c r="F8" i="1" s="1"/>
  <c r="G759" i="1" l="1"/>
  <c r="G210" i="1"/>
  <c r="G183" i="1"/>
  <c r="G360" i="1"/>
  <c r="F209" i="1"/>
  <c r="F210" i="1" s="1"/>
  <c r="F359" i="1"/>
  <c r="F360" i="1" s="1"/>
  <c r="F490" i="1"/>
  <c r="F491" i="1" s="1"/>
  <c r="G491" i="1" s="1"/>
  <c r="F506" i="1"/>
  <c r="F507" i="1" s="1"/>
  <c r="G507" i="1" s="1"/>
  <c r="F173" i="1"/>
  <c r="F174" i="1" s="1"/>
  <c r="G174" i="1" s="1"/>
  <c r="F303" i="1"/>
  <c r="F304" i="1" s="1"/>
  <c r="G304" i="1" s="1"/>
  <c r="F498" i="1"/>
  <c r="F499" i="1" s="1"/>
  <c r="G499" i="1" s="1"/>
</calcChain>
</file>

<file path=xl/sharedStrings.xml><?xml version="1.0" encoding="utf-8"?>
<sst xmlns="http://schemas.openxmlformats.org/spreadsheetml/2006/main" count="1409" uniqueCount="134">
  <si>
    <t>Journal Voucher</t>
  </si>
  <si>
    <t>Voucher No</t>
  </si>
  <si>
    <t>Date</t>
  </si>
  <si>
    <t>.2083-03-01</t>
  </si>
  <si>
    <t>Particulars</t>
  </si>
  <si>
    <t>LF</t>
  </si>
  <si>
    <t>Dr</t>
  </si>
  <si>
    <t>Cr</t>
  </si>
  <si>
    <t>Marketing Travel Expenses</t>
  </si>
  <si>
    <t>Marketing Fooding Expenses</t>
  </si>
  <si>
    <t>Marketing Other Expenses</t>
  </si>
  <si>
    <t>Bank</t>
  </si>
  <si>
    <t>Being Expenses paid via cheque no. 77483718.</t>
  </si>
  <si>
    <t xml:space="preserve"> </t>
  </si>
  <si>
    <t>Business Travel &amp; Daily Expenses</t>
  </si>
  <si>
    <t>Being Expenses paid via cheque no. 77483884.</t>
  </si>
  <si>
    <t>Net Salary Payable</t>
  </si>
  <si>
    <t>Being salary for the month of Jestha 2083  paid via Cheque no Respectively in Following Order ,  77483885, 77483886, 77483887, 77483888, 77483889, 77483890, 77483891, 77483892, 77483893, 77483894, 77483895, 77483896, 77483897, 77483898, 77483899, 77483900, 77483901, 77483902, 77483903, 77483904, 77483905</t>
  </si>
  <si>
    <t>Freight Outward</t>
  </si>
  <si>
    <t>Carriage Outward-Transportation</t>
  </si>
  <si>
    <t>Carriage Outward-Labor</t>
  </si>
  <si>
    <t>TDS on Freight (1.5%)</t>
  </si>
  <si>
    <t>VAT on Carriage -Transportation(13%)</t>
  </si>
  <si>
    <t>TDS on Carriage-Labor (1%)</t>
  </si>
  <si>
    <t>Bheri Dhuwani Sewa</t>
  </si>
  <si>
    <t xml:space="preserve">Cr </t>
  </si>
  <si>
    <t>Sundry Payable</t>
  </si>
  <si>
    <t>Being expenses recorded</t>
  </si>
  <si>
    <t>.2083-03-02</t>
  </si>
  <si>
    <t>Labor Charge</t>
  </si>
  <si>
    <t>TDS on Wages (1%)</t>
  </si>
  <si>
    <t>Being staff Allowance for the month of Jestha 2083 paid via cheque no. 77483906.</t>
  </si>
  <si>
    <t>Being staff Allowance for the month of Jestha 2083 paid via cheque no. 77483907.</t>
  </si>
  <si>
    <t>Being staff Allowance for the month of Jestha 2083 paid via cheque no. 77483908.</t>
  </si>
  <si>
    <t>Being staff Allowance for the month of Jestha 2083 paid via cheque no. 77483909.</t>
  </si>
  <si>
    <t>Being staff Allowance for the month of Jestha 2083 paid via cheque no. 77483910.</t>
  </si>
  <si>
    <t>Being staff Allowance for the month of Jestha 2083 paid via cheque no. 78315686.</t>
  </si>
  <si>
    <t>Being staff Allowance for the month of Jestha 2083 paid via cheque no. 78315687.</t>
  </si>
  <si>
    <t>Being staff Allowance for the month of Jestha 2083 paid via cheque no. 78315688.</t>
  </si>
  <si>
    <t>Being staff Allowance for the month of Jestha 2083 paid via cheque no. 78315689.</t>
  </si>
  <si>
    <t>.2083-03-03</t>
  </si>
  <si>
    <t>Cash</t>
  </si>
  <si>
    <t>Being Cash Withdrawl for office use via cheque no. 78315691.</t>
  </si>
  <si>
    <t>.2083-03-04</t>
  </si>
  <si>
    <t>Being Cash Withdrawl for office use via cheque no. 78315692.</t>
  </si>
  <si>
    <t>Printing &amp; Stationary</t>
  </si>
  <si>
    <t>Communication</t>
  </si>
  <si>
    <t>Utility</t>
  </si>
  <si>
    <t>New Subhash Carriers</t>
  </si>
  <si>
    <t>Krishna Transport</t>
  </si>
  <si>
    <t>New Kalapataru Carriers</t>
  </si>
  <si>
    <t>Being Expenses paid via Cash.</t>
  </si>
  <si>
    <t xml:space="preserve">Krishna Transport </t>
  </si>
  <si>
    <t>National Carriers</t>
  </si>
  <si>
    <t>Photocopy</t>
  </si>
  <si>
    <t>Ncell Topup</t>
  </si>
  <si>
    <t>Poonam Roadway &amp; Services Pvt Ltd</t>
  </si>
  <si>
    <t>Aakash Bhairab Logistic Sewa</t>
  </si>
  <si>
    <t>.2083-03-05</t>
  </si>
  <si>
    <t>Nepal Bank Limited</t>
  </si>
  <si>
    <t>Being interbank fund transferred via cheque no 78315695.</t>
  </si>
  <si>
    <t>SSF Payable By Employer</t>
  </si>
  <si>
    <t>SSF Contribution of Employee Payable</t>
  </si>
  <si>
    <t>Being SSF contribution of employee and employer for the month of Jestha 2083 paid via Nepal Bank Limited</t>
  </si>
  <si>
    <t>D water</t>
  </si>
  <si>
    <t>Office Supplies</t>
  </si>
  <si>
    <t>Seat</t>
  </si>
  <si>
    <t>Repair &amp; Maintainance</t>
  </si>
  <si>
    <t>Tube</t>
  </si>
  <si>
    <t>Consingment</t>
  </si>
  <si>
    <t>Register</t>
  </si>
  <si>
    <t>Rates &amp; Taxes</t>
  </si>
  <si>
    <t>Electricity</t>
  </si>
  <si>
    <t>Shree Carriers</t>
  </si>
  <si>
    <t>.2083-03-07</t>
  </si>
  <si>
    <t>Business Promotion Expenses</t>
  </si>
  <si>
    <t>Being Expenses paid via cheque no. 8315696.</t>
  </si>
  <si>
    <t>Advance Custom Duty</t>
  </si>
  <si>
    <t>Being advance custom duty  paid to lama clearing  via cheque no 78315690.</t>
  </si>
  <si>
    <t>Purchase</t>
  </si>
  <si>
    <t>1676 boxes</t>
  </si>
  <si>
    <t>Abbvie Therapeutics India Pvt Ltd</t>
  </si>
  <si>
    <t>Being trade goods purchased from supplier ABBVIE Threapeutics India Pvt Ltd. (Inv No 8981112, Inv Value : INR 17920189.44 Inv Date: 15-06-2026, PP No M 84141, PP Date: 20-06-2026)</t>
  </si>
  <si>
    <t>Custom Duty</t>
  </si>
  <si>
    <t>Custom &amp; Clearing</t>
  </si>
  <si>
    <t>Being advance custom duty of PP no: M 84141 settled and remaining paid via cheque no 78315697.</t>
  </si>
  <si>
    <t>Carriage Inward-Transportation</t>
  </si>
  <si>
    <t>330*35</t>
  </si>
  <si>
    <t>Carriage Inward-Labor</t>
  </si>
  <si>
    <t>330*100/0.99</t>
  </si>
  <si>
    <t>VAT Payable</t>
  </si>
  <si>
    <t>TDS Payable</t>
  </si>
  <si>
    <t xml:space="preserve">Sundry Payable </t>
  </si>
  <si>
    <t>338*35</t>
  </si>
  <si>
    <t>338*100/0.99</t>
  </si>
  <si>
    <t>328*35</t>
  </si>
  <si>
    <t>328*100/0.99</t>
  </si>
  <si>
    <t>336*35</t>
  </si>
  <si>
    <t>336*100/0.99</t>
  </si>
  <si>
    <t>344*35</t>
  </si>
  <si>
    <t>344*100/0.99</t>
  </si>
  <si>
    <t>.2083-03-08</t>
  </si>
  <si>
    <t>Being Cash Withdrawl for office use via cheque no. 8315698.</t>
  </si>
  <si>
    <t>Being Expenses paid via cheque no. 8315699.</t>
  </si>
  <si>
    <t>Being Expenses paid via cheque no. 78315702</t>
  </si>
  <si>
    <t>Nepal Investment Mega Bank Limited</t>
  </si>
  <si>
    <t>Being interbank fund transferred via cheque no 78315703.</t>
  </si>
  <si>
    <t>Being advance custom duty  paid to lama clearing  via cheque no 78315693.</t>
  </si>
  <si>
    <t>1535 boxes</t>
  </si>
  <si>
    <t>Being trade goods purchased from supplier ABBVIE Threapeutics India Pvt Ltd. (Inv No 8982286, Inv Value : INR 18425246.40 Inv Date: 17-06-2026, PP No M 84375, PP Date: 21-06-2026)</t>
  </si>
  <si>
    <t>Being advance custom duty of PP no: M 84375 settled and remaining paid via cheque no 8315706.</t>
  </si>
  <si>
    <t>314*35</t>
  </si>
  <si>
    <t>314*100/0.99</t>
  </si>
  <si>
    <t>325*35</t>
  </si>
  <si>
    <t>325*100/0.99</t>
  </si>
  <si>
    <t>316*35</t>
  </si>
  <si>
    <t>316*100/0.99</t>
  </si>
  <si>
    <t>320*35</t>
  </si>
  <si>
    <t>320*100/0.99</t>
  </si>
  <si>
    <t>260*35</t>
  </si>
  <si>
    <t>260*100/0.99</t>
  </si>
  <si>
    <t>.2083-03-09</t>
  </si>
  <si>
    <t>Being Expenses paid via cheque no. 77483719.</t>
  </si>
  <si>
    <t>.2083-03-10</t>
  </si>
  <si>
    <t>KUKL</t>
  </si>
  <si>
    <t>Sugar</t>
  </si>
  <si>
    <t>Fuel</t>
  </si>
  <si>
    <t>Packing Materials</t>
  </si>
  <si>
    <t>Dori</t>
  </si>
  <si>
    <t>Notary</t>
  </si>
  <si>
    <t>Ledger, Marker, Pencil</t>
  </si>
  <si>
    <t>.2083-03-11</t>
  </si>
  <si>
    <t>.2083-03-12</t>
  </si>
  <si>
    <t>.2083-03-15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</si>
</sst>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_);_(* \(#,##0.00\);_(* &quot;-&quot;?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charset val="134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43" fontId="0" fillId="0" borderId="0" xfId="1" applyFont="1" applyFill="1"/>
    <xf numFmtId="43" fontId="2" fillId="0" borderId="1" xfId="1" applyFont="1" applyFill="1" applyBorder="1" applyAlignment="1">
      <alignment horizontal="center" wrapText="1"/>
    </xf>
    <xf numFmtId="43" fontId="2" fillId="0" borderId="3" xfId="1" applyFont="1" applyFill="1" applyBorder="1" applyAlignment="1">
      <alignment horizontal="center" wrapText="1"/>
    </xf>
    <xf numFmtId="43" fontId="2" fillId="0" borderId="4" xfId="1" applyFont="1" applyFill="1" applyBorder="1" applyAlignment="1">
      <alignment horizontal="center" wrapText="1"/>
    </xf>
    <xf numFmtId="43" fontId="0" fillId="0" borderId="4" xfId="1" applyFont="1" applyFill="1" applyBorder="1" applyAlignment="1">
      <alignment wrapText="1"/>
    </xf>
    <xf numFmtId="43" fontId="2" fillId="0" borderId="4" xfId="1" applyFont="1" applyFill="1" applyBorder="1" applyAlignment="1">
      <alignment wrapText="1"/>
    </xf>
    <xf numFmtId="43" fontId="2" fillId="0" borderId="0" xfId="1" applyFont="1" applyFill="1" applyBorder="1"/>
    <xf numFmtId="43" fontId="2" fillId="0" borderId="1" xfId="1" applyFont="1" applyFill="1" applyBorder="1" applyAlignment="1">
      <alignment horizontal="center"/>
    </xf>
    <xf numFmtId="43" fontId="2" fillId="0" borderId="3" xfId="1" applyFont="1" applyFill="1" applyBorder="1" applyAlignment="1">
      <alignment horizontal="center"/>
    </xf>
    <xf numFmtId="43" fontId="2" fillId="0" borderId="4" xfId="1" applyFont="1" applyFill="1" applyBorder="1" applyAlignment="1">
      <alignment horizontal="center"/>
    </xf>
    <xf numFmtId="43" fontId="0" fillId="0" borderId="4" xfId="1" applyFont="1" applyFill="1" applyBorder="1"/>
    <xf numFmtId="43" fontId="2" fillId="0" borderId="4" xfId="1" applyFont="1" applyFill="1" applyBorder="1"/>
    <xf numFmtId="43" fontId="0" fillId="0" borderId="0" xfId="1" applyFont="1" applyFill="1" applyAlignment="1">
      <alignment horizontal="right"/>
    </xf>
    <xf numFmtId="43" fontId="2" fillId="0" borderId="0" xfId="1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0" fillId="0" borderId="0" xfId="0" applyFill="1"/>
    <xf numFmtId="0" fontId="4" fillId="0" borderId="4" xfId="0" applyFont="1" applyFill="1" applyBorder="1"/>
    <xf numFmtId="0" fontId="4" fillId="0" borderId="4" xfId="0" applyFont="1" applyFill="1" applyBorder="1" applyAlignment="1">
      <alignment horizontal="center" vertical="center"/>
    </xf>
    <xf numFmtId="43" fontId="3" fillId="0" borderId="1" xfId="0" applyNumberFormat="1" applyFont="1" applyFill="1" applyBorder="1" applyAlignment="1">
      <alignment horizontal="center"/>
    </xf>
    <xf numFmtId="43" fontId="3" fillId="0" borderId="3" xfId="0" applyNumberFormat="1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43" fontId="3" fillId="0" borderId="4" xfId="0" applyNumberFormat="1" applyFont="1" applyFill="1" applyBorder="1" applyAlignment="1">
      <alignment horizontal="center"/>
    </xf>
    <xf numFmtId="0" fontId="4" fillId="0" borderId="4" xfId="0" applyFont="1" applyFill="1" applyBorder="1" applyAlignment="1">
      <alignment wrapText="1"/>
    </xf>
    <xf numFmtId="43" fontId="4" fillId="0" borderId="4" xfId="0" applyNumberFormat="1" applyFont="1" applyFill="1" applyBorder="1"/>
    <xf numFmtId="0" fontId="0" fillId="0" borderId="4" xfId="0" applyFill="1" applyBorder="1" applyAlignment="1">
      <alignment wrapText="1"/>
    </xf>
    <xf numFmtId="0" fontId="3" fillId="0" borderId="4" xfId="0" applyFont="1" applyFill="1" applyBorder="1"/>
    <xf numFmtId="43" fontId="3" fillId="0" borderId="4" xfId="0" applyNumberFormat="1" applyFont="1" applyFill="1" applyBorder="1"/>
    <xf numFmtId="0" fontId="3" fillId="0" borderId="1" xfId="0" applyFont="1" applyFill="1" applyBorder="1" applyAlignment="1">
      <alignment horizontal="left" wrapText="1"/>
    </xf>
    <xf numFmtId="0" fontId="3" fillId="0" borderId="2" xfId="0" applyFont="1" applyFill="1" applyBorder="1" applyAlignment="1">
      <alignment horizontal="left" wrapText="1"/>
    </xf>
    <xf numFmtId="0" fontId="3" fillId="0" borderId="3" xfId="0" applyFont="1" applyFill="1" applyBorder="1" applyAlignment="1">
      <alignment horizontal="left" wrapText="1"/>
    </xf>
    <xf numFmtId="0" fontId="4" fillId="0" borderId="0" xfId="0" applyFont="1" applyFill="1"/>
    <xf numFmtId="0" fontId="3" fillId="0" borderId="0" xfId="0" applyFont="1" applyFill="1" applyAlignment="1">
      <alignment horizontal="left" wrapText="1"/>
    </xf>
    <xf numFmtId="0" fontId="2" fillId="0" borderId="1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horizontal="center" wrapText="1"/>
    </xf>
    <xf numFmtId="0" fontId="2" fillId="0" borderId="3" xfId="0" applyFont="1" applyFill="1" applyBorder="1" applyAlignment="1">
      <alignment horizontal="center" wrapText="1"/>
    </xf>
    <xf numFmtId="0" fontId="0" fillId="0" borderId="0" xfId="0" applyFill="1" applyAlignment="1">
      <alignment wrapText="1"/>
    </xf>
    <xf numFmtId="0" fontId="0" fillId="0" borderId="4" xfId="0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wrapText="1"/>
    </xf>
    <xf numFmtId="0" fontId="2" fillId="0" borderId="4" xfId="0" applyFont="1" applyFill="1" applyBorder="1" applyAlignment="1">
      <alignment wrapText="1"/>
    </xf>
    <xf numFmtId="0" fontId="0" fillId="0" borderId="0" xfId="0" quotePrefix="1" applyFill="1" applyAlignment="1">
      <alignment wrapText="1"/>
    </xf>
    <xf numFmtId="0" fontId="2" fillId="0" borderId="1" xfId="0" applyFont="1" applyFill="1" applyBorder="1" applyAlignment="1">
      <alignment horizontal="left" wrapText="1"/>
    </xf>
    <xf numFmtId="0" fontId="2" fillId="0" borderId="2" xfId="0" applyFont="1" applyFill="1" applyBorder="1" applyAlignment="1">
      <alignment horizontal="left" wrapText="1"/>
    </xf>
    <xf numFmtId="0" fontId="2" fillId="0" borderId="3" xfId="0" applyFont="1" applyFill="1" applyBorder="1" applyAlignment="1">
      <alignment horizontal="left" wrapText="1"/>
    </xf>
    <xf numFmtId="0" fontId="2" fillId="0" borderId="0" xfId="0" applyFont="1" applyFill="1" applyAlignment="1">
      <alignment horizontal="left" wrapText="1"/>
    </xf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0" fillId="0" borderId="4" xfId="0" applyFill="1" applyBorder="1"/>
    <xf numFmtId="0" fontId="0" fillId="0" borderId="4" xfId="0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/>
    </xf>
    <xf numFmtId="164" fontId="0" fillId="0" borderId="0" xfId="0" applyNumberFormat="1" applyFill="1"/>
    <xf numFmtId="0" fontId="2" fillId="0" borderId="4" xfId="0" applyFont="1" applyFill="1" applyBorder="1"/>
    <xf numFmtId="43" fontId="0" fillId="0" borderId="0" xfId="0" applyNumberFormat="1" applyFill="1" applyAlignment="1">
      <alignment wrapText="1"/>
    </xf>
    <xf numFmtId="0" fontId="2" fillId="0" borderId="5" xfId="0" applyFont="1" applyFill="1" applyBorder="1" applyAlignment="1">
      <alignment horizontal="left" wrapText="1"/>
    </xf>
    <xf numFmtId="0" fontId="2" fillId="0" borderId="6" xfId="0" applyFont="1" applyFill="1" applyBorder="1" applyAlignment="1">
      <alignment horizontal="left" wrapText="1"/>
    </xf>
    <xf numFmtId="43" fontId="0" fillId="0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5020E-6F24-4D9F-B750-FAF71E551A25}">
  <dimension ref="A1:J834"/>
  <sheetViews>
    <sheetView tabSelected="1" topLeftCell="A135" workbookViewId="0">
      <selection activeCell="I147" sqref="I147:J255"/>
    </sheetView>
  </sheetViews>
  <sheetFormatPr defaultRowHeight="14.4"/>
  <cols>
    <col min="1" max="1" width="10.6640625" style="18" bestFit="1" customWidth="1"/>
    <col min="2" max="2" width="2.88671875" style="18" bestFit="1" customWidth="1"/>
    <col min="3" max="3" width="32.5546875" style="18" bestFit="1" customWidth="1"/>
    <col min="4" max="4" width="7" style="18" customWidth="1"/>
    <col min="5" max="6" width="14.21875" style="18" bestFit="1" customWidth="1"/>
    <col min="7" max="7" width="14" style="18" bestFit="1" customWidth="1"/>
    <col min="8" max="8" width="8.88671875" style="18"/>
    <col min="9" max="9" width="9.21875" style="18" bestFit="1" customWidth="1"/>
    <col min="10" max="16384" width="8.88671875" style="18"/>
  </cols>
  <sheetData>
    <row r="1" spans="1:7">
      <c r="A1" s="15" t="s">
        <v>0</v>
      </c>
      <c r="B1" s="16"/>
      <c r="C1" s="16"/>
      <c r="D1" s="16"/>
      <c r="E1" s="16"/>
      <c r="F1" s="17"/>
      <c r="G1" s="1"/>
    </row>
    <row r="2" spans="1:7">
      <c r="A2" s="19" t="s">
        <v>1</v>
      </c>
      <c r="B2" s="19"/>
      <c r="C2" s="20"/>
      <c r="D2" s="19" t="s">
        <v>2</v>
      </c>
      <c r="E2" s="21" t="s">
        <v>3</v>
      </c>
      <c r="F2" s="22"/>
      <c r="G2" s="1"/>
    </row>
    <row r="3" spans="1:7">
      <c r="A3" s="19"/>
      <c r="B3" s="19"/>
      <c r="C3" s="23" t="s">
        <v>4</v>
      </c>
      <c r="D3" s="23" t="s">
        <v>5</v>
      </c>
      <c r="E3" s="24" t="s">
        <v>6</v>
      </c>
      <c r="F3" s="24" t="s">
        <v>7</v>
      </c>
      <c r="G3" s="1"/>
    </row>
    <row r="4" spans="1:7">
      <c r="A4" s="19"/>
      <c r="B4" s="19" t="s">
        <v>6</v>
      </c>
      <c r="C4" s="25" t="s">
        <v>8</v>
      </c>
      <c r="D4" s="19"/>
      <c r="E4" s="26">
        <v>42075</v>
      </c>
      <c r="F4" s="26"/>
      <c r="G4" s="1"/>
    </row>
    <row r="5" spans="1:7">
      <c r="A5" s="19"/>
      <c r="B5" s="19" t="s">
        <v>6</v>
      </c>
      <c r="C5" s="25" t="s">
        <v>9</v>
      </c>
      <c r="D5" s="19"/>
      <c r="E5" s="26">
        <v>7425</v>
      </c>
      <c r="F5" s="26"/>
      <c r="G5" s="1"/>
    </row>
    <row r="6" spans="1:7">
      <c r="A6" s="19"/>
      <c r="B6" s="19" t="s">
        <v>6</v>
      </c>
      <c r="C6" s="25" t="s">
        <v>10</v>
      </c>
      <c r="D6" s="19"/>
      <c r="E6" s="26">
        <v>22</v>
      </c>
      <c r="F6" s="26"/>
      <c r="G6" s="1"/>
    </row>
    <row r="7" spans="1:7">
      <c r="A7" s="19"/>
      <c r="B7" s="19" t="s">
        <v>7</v>
      </c>
      <c r="C7" s="27" t="s">
        <v>11</v>
      </c>
      <c r="D7" s="19"/>
      <c r="E7" s="26"/>
      <c r="F7" s="26">
        <f>E8</f>
        <v>49522</v>
      </c>
      <c r="G7" s="1"/>
    </row>
    <row r="8" spans="1:7">
      <c r="A8" s="28"/>
      <c r="B8" s="28"/>
      <c r="C8" s="28"/>
      <c r="D8" s="28"/>
      <c r="E8" s="29">
        <f>SUM(E4:E7)</f>
        <v>49522</v>
      </c>
      <c r="F8" s="29">
        <f>SUM(F4:F7)</f>
        <v>49522</v>
      </c>
      <c r="G8" s="1"/>
    </row>
    <row r="9" spans="1:7" ht="14.4" customHeight="1">
      <c r="A9" s="30" t="s">
        <v>12</v>
      </c>
      <c r="B9" s="31"/>
      <c r="C9" s="31"/>
      <c r="D9" s="31"/>
      <c r="E9" s="31"/>
      <c r="F9" s="32"/>
      <c r="G9" s="1"/>
    </row>
    <row r="10" spans="1:7">
      <c r="A10" s="33"/>
      <c r="B10" s="33"/>
      <c r="C10" s="33"/>
      <c r="D10" s="33"/>
      <c r="E10" s="33"/>
      <c r="F10" s="33"/>
      <c r="G10" s="1"/>
    </row>
    <row r="11" spans="1:7">
      <c r="A11" s="15" t="s">
        <v>0</v>
      </c>
      <c r="B11" s="16"/>
      <c r="C11" s="16"/>
      <c r="D11" s="16"/>
      <c r="E11" s="16"/>
      <c r="F11" s="17"/>
      <c r="G11" s="1"/>
    </row>
    <row r="12" spans="1:7">
      <c r="A12" s="19" t="s">
        <v>1</v>
      </c>
      <c r="B12" s="19"/>
      <c r="C12" s="20"/>
      <c r="D12" s="19" t="s">
        <v>2</v>
      </c>
      <c r="E12" s="21" t="str">
        <f>E2</f>
        <v>.2083-03-01</v>
      </c>
      <c r="F12" s="22"/>
      <c r="G12" s="1"/>
    </row>
    <row r="13" spans="1:7">
      <c r="A13" s="19"/>
      <c r="B13" s="19"/>
      <c r="C13" s="23" t="s">
        <v>4</v>
      </c>
      <c r="D13" s="23" t="s">
        <v>5</v>
      </c>
      <c r="E13" s="24" t="s">
        <v>6</v>
      </c>
      <c r="F13" s="24" t="s">
        <v>7</v>
      </c>
      <c r="G13" s="1"/>
    </row>
    <row r="14" spans="1:7">
      <c r="A14" s="19"/>
      <c r="B14" s="19" t="s">
        <v>6</v>
      </c>
      <c r="C14" s="25" t="s">
        <v>8</v>
      </c>
      <c r="D14" s="19"/>
      <c r="E14" s="26">
        <v>42075</v>
      </c>
      <c r="F14" s="26"/>
      <c r="G14" s="1"/>
    </row>
    <row r="15" spans="1:7">
      <c r="A15" s="19"/>
      <c r="B15" s="19" t="s">
        <v>6</v>
      </c>
      <c r="C15" s="25" t="s">
        <v>9</v>
      </c>
      <c r="D15" s="19"/>
      <c r="E15" s="26">
        <v>7425</v>
      </c>
      <c r="F15" s="26"/>
      <c r="G15" s="1"/>
    </row>
    <row r="16" spans="1:7">
      <c r="A16" s="19"/>
      <c r="B16" s="19" t="s">
        <v>7</v>
      </c>
      <c r="C16" s="27" t="s">
        <v>11</v>
      </c>
      <c r="D16" s="19"/>
      <c r="E16" s="26"/>
      <c r="F16" s="26">
        <f>E17</f>
        <v>49500</v>
      </c>
      <c r="G16" s="1"/>
    </row>
    <row r="17" spans="1:7">
      <c r="A17" s="28"/>
      <c r="B17" s="28"/>
      <c r="C17" s="28"/>
      <c r="D17" s="28"/>
      <c r="E17" s="29">
        <f>SUM(E14:E16)</f>
        <v>49500</v>
      </c>
      <c r="F17" s="29">
        <f>SUM(F14:F16)</f>
        <v>49500</v>
      </c>
      <c r="G17" s="1"/>
    </row>
    <row r="18" spans="1:7" ht="14.4" customHeight="1">
      <c r="A18" s="30" t="str">
        <f>A9</f>
        <v>Being Expenses paid via cheque no. 77483718.</v>
      </c>
      <c r="B18" s="31"/>
      <c r="C18" s="31"/>
      <c r="D18" s="31"/>
      <c r="E18" s="31"/>
      <c r="F18" s="32"/>
      <c r="G18" s="1"/>
    </row>
    <row r="19" spans="1:7">
      <c r="A19" s="33"/>
      <c r="B19" s="33"/>
      <c r="C19" s="33"/>
      <c r="D19" s="33"/>
      <c r="E19" s="33"/>
      <c r="F19" s="33"/>
      <c r="G19" s="1"/>
    </row>
    <row r="20" spans="1:7">
      <c r="A20" s="15" t="s">
        <v>0</v>
      </c>
      <c r="B20" s="16"/>
      <c r="C20" s="16"/>
      <c r="D20" s="16"/>
      <c r="E20" s="16"/>
      <c r="F20" s="17"/>
      <c r="G20" s="1"/>
    </row>
    <row r="21" spans="1:7">
      <c r="A21" s="19" t="s">
        <v>1</v>
      </c>
      <c r="B21" s="19"/>
      <c r="C21" s="20"/>
      <c r="D21" s="19" t="s">
        <v>2</v>
      </c>
      <c r="E21" s="21" t="str">
        <f>E12</f>
        <v>.2083-03-01</v>
      </c>
      <c r="F21" s="22"/>
      <c r="G21" s="1"/>
    </row>
    <row r="22" spans="1:7">
      <c r="A22" s="19"/>
      <c r="B22" s="19"/>
      <c r="C22" s="23" t="s">
        <v>4</v>
      </c>
      <c r="D22" s="23" t="s">
        <v>5</v>
      </c>
      <c r="E22" s="24" t="s">
        <v>6</v>
      </c>
      <c r="F22" s="24" t="s">
        <v>7</v>
      </c>
      <c r="G22" s="1"/>
    </row>
    <row r="23" spans="1:7">
      <c r="A23" s="19"/>
      <c r="B23" s="19" t="s">
        <v>6</v>
      </c>
      <c r="C23" s="25" t="s">
        <v>8</v>
      </c>
      <c r="D23" s="19"/>
      <c r="E23" s="26">
        <v>32725</v>
      </c>
      <c r="F23" s="26"/>
      <c r="G23" s="1"/>
    </row>
    <row r="24" spans="1:7">
      <c r="A24" s="19"/>
      <c r="B24" s="19" t="s">
        <v>6</v>
      </c>
      <c r="C24" s="25" t="s">
        <v>9</v>
      </c>
      <c r="D24" s="19"/>
      <c r="E24" s="26">
        <v>5775</v>
      </c>
      <c r="F24" s="26"/>
      <c r="G24" s="1"/>
    </row>
    <row r="25" spans="1:7">
      <c r="A25" s="19"/>
      <c r="B25" s="19" t="s">
        <v>6</v>
      </c>
      <c r="C25" s="25" t="s">
        <v>10</v>
      </c>
      <c r="D25" s="19"/>
      <c r="E25" s="26">
        <v>34</v>
      </c>
      <c r="F25" s="26"/>
      <c r="G25" s="1"/>
    </row>
    <row r="26" spans="1:7">
      <c r="A26" s="19"/>
      <c r="B26" s="19" t="s">
        <v>7</v>
      </c>
      <c r="C26" s="27" t="s">
        <v>11</v>
      </c>
      <c r="D26" s="19"/>
      <c r="E26" s="26"/>
      <c r="F26" s="26">
        <f>E27</f>
        <v>38534</v>
      </c>
      <c r="G26" s="1"/>
    </row>
    <row r="27" spans="1:7">
      <c r="A27" s="28" t="s">
        <v>13</v>
      </c>
      <c r="B27" s="28"/>
      <c r="C27" s="28"/>
      <c r="D27" s="28"/>
      <c r="E27" s="29">
        <f>SUM(E23:E26)</f>
        <v>38534</v>
      </c>
      <c r="F27" s="29">
        <f>SUM(F23:F26)</f>
        <v>38534</v>
      </c>
      <c r="G27" s="1"/>
    </row>
    <row r="28" spans="1:7" ht="14.4" customHeight="1">
      <c r="A28" s="30" t="str">
        <f>A18</f>
        <v>Being Expenses paid via cheque no. 77483718.</v>
      </c>
      <c r="B28" s="31"/>
      <c r="C28" s="31"/>
      <c r="D28" s="31"/>
      <c r="E28" s="31"/>
      <c r="F28" s="32"/>
      <c r="G28" s="1"/>
    </row>
    <row r="29" spans="1:7">
      <c r="A29" s="33"/>
      <c r="B29" s="33"/>
      <c r="C29" s="33"/>
      <c r="D29" s="33"/>
      <c r="E29" s="33"/>
      <c r="F29" s="33"/>
      <c r="G29" s="1"/>
    </row>
    <row r="30" spans="1:7">
      <c r="A30" s="15" t="s">
        <v>0</v>
      </c>
      <c r="B30" s="16"/>
      <c r="C30" s="16"/>
      <c r="D30" s="16"/>
      <c r="E30" s="16"/>
      <c r="F30" s="17"/>
      <c r="G30" s="1"/>
    </row>
    <row r="31" spans="1:7">
      <c r="A31" s="19" t="s">
        <v>1</v>
      </c>
      <c r="B31" s="19"/>
      <c r="C31" s="20"/>
      <c r="D31" s="19" t="s">
        <v>2</v>
      </c>
      <c r="E31" s="21" t="str">
        <f>E21</f>
        <v>.2083-03-01</v>
      </c>
      <c r="F31" s="22"/>
      <c r="G31" s="1"/>
    </row>
    <row r="32" spans="1:7">
      <c r="A32" s="19"/>
      <c r="B32" s="19"/>
      <c r="C32" s="23" t="s">
        <v>4</v>
      </c>
      <c r="D32" s="23" t="s">
        <v>5</v>
      </c>
      <c r="E32" s="24" t="s">
        <v>6</v>
      </c>
      <c r="F32" s="24" t="s">
        <v>7</v>
      </c>
      <c r="G32" s="1"/>
    </row>
    <row r="33" spans="1:7">
      <c r="A33" s="19"/>
      <c r="B33" s="19" t="s">
        <v>6</v>
      </c>
      <c r="C33" s="25" t="s">
        <v>8</v>
      </c>
      <c r="D33" s="19"/>
      <c r="E33" s="26">
        <v>32725</v>
      </c>
      <c r="F33" s="26"/>
      <c r="G33" s="1"/>
    </row>
    <row r="34" spans="1:7">
      <c r="A34" s="19"/>
      <c r="B34" s="19" t="s">
        <v>6</v>
      </c>
      <c r="C34" s="25" t="s">
        <v>9</v>
      </c>
      <c r="D34" s="19"/>
      <c r="E34" s="26">
        <v>5775</v>
      </c>
      <c r="F34" s="26"/>
      <c r="G34" s="1"/>
    </row>
    <row r="35" spans="1:7">
      <c r="A35" s="19"/>
      <c r="B35" s="19" t="s">
        <v>6</v>
      </c>
      <c r="C35" s="25" t="s">
        <v>10</v>
      </c>
      <c r="D35" s="19"/>
      <c r="E35" s="26">
        <v>2225</v>
      </c>
      <c r="F35" s="26"/>
      <c r="G35" s="1"/>
    </row>
    <row r="36" spans="1:7">
      <c r="A36" s="19"/>
      <c r="B36" s="19" t="s">
        <v>7</v>
      </c>
      <c r="C36" s="27" t="s">
        <v>11</v>
      </c>
      <c r="D36" s="19"/>
      <c r="E36" s="26"/>
      <c r="F36" s="26">
        <f>E37</f>
        <v>40725</v>
      </c>
      <c r="G36" s="1"/>
    </row>
    <row r="37" spans="1:7">
      <c r="A37" s="28"/>
      <c r="B37" s="28"/>
      <c r="C37" s="28"/>
      <c r="D37" s="28"/>
      <c r="E37" s="29">
        <f>SUM(E33:E36)</f>
        <v>40725</v>
      </c>
      <c r="F37" s="29">
        <f>SUM(F33:F36)</f>
        <v>40725</v>
      </c>
      <c r="G37" s="1"/>
    </row>
    <row r="38" spans="1:7" ht="14.4" customHeight="1">
      <c r="A38" s="30" t="str">
        <f>A28</f>
        <v>Being Expenses paid via cheque no. 77483718.</v>
      </c>
      <c r="B38" s="31"/>
      <c r="C38" s="31"/>
      <c r="D38" s="31"/>
      <c r="E38" s="31"/>
      <c r="F38" s="32"/>
      <c r="G38" s="1"/>
    </row>
    <row r="39" spans="1:7">
      <c r="A39" s="33"/>
      <c r="B39" s="33"/>
      <c r="C39" s="33"/>
      <c r="D39" s="33"/>
      <c r="E39" s="33"/>
      <c r="F39" s="33"/>
      <c r="G39" s="1"/>
    </row>
    <row r="40" spans="1:7">
      <c r="A40" s="15" t="s">
        <v>0</v>
      </c>
      <c r="B40" s="16"/>
      <c r="C40" s="16"/>
      <c r="D40" s="16"/>
      <c r="E40" s="16"/>
      <c r="F40" s="17"/>
      <c r="G40" s="1"/>
    </row>
    <row r="41" spans="1:7">
      <c r="A41" s="19" t="s">
        <v>1</v>
      </c>
      <c r="B41" s="19"/>
      <c r="C41" s="20"/>
      <c r="D41" s="19" t="s">
        <v>2</v>
      </c>
      <c r="E41" s="21" t="str">
        <f>E31</f>
        <v>.2083-03-01</v>
      </c>
      <c r="F41" s="22"/>
      <c r="G41" s="1"/>
    </row>
    <row r="42" spans="1:7">
      <c r="A42" s="19"/>
      <c r="B42" s="19"/>
      <c r="C42" s="23" t="s">
        <v>4</v>
      </c>
      <c r="D42" s="23" t="s">
        <v>5</v>
      </c>
      <c r="E42" s="24" t="s">
        <v>6</v>
      </c>
      <c r="F42" s="24" t="s">
        <v>7</v>
      </c>
      <c r="G42" s="1"/>
    </row>
    <row r="43" spans="1:7">
      <c r="A43" s="19"/>
      <c r="B43" s="19" t="s">
        <v>6</v>
      </c>
      <c r="C43" s="25" t="s">
        <v>8</v>
      </c>
      <c r="D43" s="19"/>
      <c r="E43" s="26">
        <v>32725</v>
      </c>
      <c r="F43" s="26"/>
      <c r="G43" s="1"/>
    </row>
    <row r="44" spans="1:7">
      <c r="A44" s="19"/>
      <c r="B44" s="19" t="s">
        <v>6</v>
      </c>
      <c r="C44" s="25" t="s">
        <v>9</v>
      </c>
      <c r="D44" s="19"/>
      <c r="E44" s="26">
        <v>5775</v>
      </c>
      <c r="F44" s="26"/>
      <c r="G44" s="1"/>
    </row>
    <row r="45" spans="1:7">
      <c r="A45" s="19"/>
      <c r="B45" s="19" t="s">
        <v>6</v>
      </c>
      <c r="C45" s="25" t="s">
        <v>10</v>
      </c>
      <c r="D45" s="19"/>
      <c r="E45" s="26">
        <v>228</v>
      </c>
      <c r="F45" s="26"/>
      <c r="G45" s="1"/>
    </row>
    <row r="46" spans="1:7">
      <c r="A46" s="19"/>
      <c r="B46" s="19" t="s">
        <v>7</v>
      </c>
      <c r="C46" s="27" t="s">
        <v>11</v>
      </c>
      <c r="D46" s="19"/>
      <c r="E46" s="26"/>
      <c r="F46" s="26">
        <f>E47</f>
        <v>38728</v>
      </c>
      <c r="G46" s="1"/>
    </row>
    <row r="47" spans="1:7">
      <c r="A47" s="28"/>
      <c r="B47" s="28"/>
      <c r="C47" s="28"/>
      <c r="D47" s="28"/>
      <c r="E47" s="29">
        <f>SUM(E43:E46)</f>
        <v>38728</v>
      </c>
      <c r="F47" s="29">
        <f>SUM(F43:F46)</f>
        <v>38728</v>
      </c>
      <c r="G47" s="1"/>
    </row>
    <row r="48" spans="1:7" ht="14.4" customHeight="1">
      <c r="A48" s="30" t="str">
        <f>A38</f>
        <v>Being Expenses paid via cheque no. 77483718.</v>
      </c>
      <c r="B48" s="31"/>
      <c r="C48" s="31"/>
      <c r="D48" s="31"/>
      <c r="E48" s="31"/>
      <c r="F48" s="32"/>
      <c r="G48" s="1"/>
    </row>
    <row r="49" spans="1:7">
      <c r="A49" s="33"/>
      <c r="B49" s="33"/>
      <c r="C49" s="33"/>
      <c r="D49" s="33"/>
      <c r="E49" s="33"/>
      <c r="F49" s="33"/>
      <c r="G49" s="1"/>
    </row>
    <row r="50" spans="1:7">
      <c r="A50" s="15" t="s">
        <v>0</v>
      </c>
      <c r="B50" s="16"/>
      <c r="C50" s="16"/>
      <c r="D50" s="16"/>
      <c r="E50" s="16"/>
      <c r="F50" s="17"/>
      <c r="G50" s="1"/>
    </row>
    <row r="51" spans="1:7">
      <c r="A51" s="19" t="s">
        <v>1</v>
      </c>
      <c r="B51" s="19"/>
      <c r="C51" s="20"/>
      <c r="D51" s="19" t="s">
        <v>2</v>
      </c>
      <c r="E51" s="21" t="str">
        <f>E41</f>
        <v>.2083-03-01</v>
      </c>
      <c r="F51" s="22"/>
      <c r="G51" s="1"/>
    </row>
    <row r="52" spans="1:7">
      <c r="A52" s="19"/>
      <c r="B52" s="19"/>
      <c r="C52" s="23" t="s">
        <v>4</v>
      </c>
      <c r="D52" s="23" t="s">
        <v>5</v>
      </c>
      <c r="E52" s="24" t="s">
        <v>6</v>
      </c>
      <c r="F52" s="24" t="s">
        <v>7</v>
      </c>
      <c r="G52" s="1"/>
    </row>
    <row r="53" spans="1:7">
      <c r="A53" s="19"/>
      <c r="B53" s="19" t="s">
        <v>6</v>
      </c>
      <c r="C53" s="25" t="s">
        <v>8</v>
      </c>
      <c r="D53" s="19"/>
      <c r="E53" s="26">
        <v>32725</v>
      </c>
      <c r="F53" s="26"/>
      <c r="G53" s="1"/>
    </row>
    <row r="54" spans="1:7">
      <c r="A54" s="19"/>
      <c r="B54" s="19" t="s">
        <v>6</v>
      </c>
      <c r="C54" s="25" t="s">
        <v>9</v>
      </c>
      <c r="D54" s="19"/>
      <c r="E54" s="26">
        <v>5775</v>
      </c>
      <c r="F54" s="26"/>
      <c r="G54" s="1"/>
    </row>
    <row r="55" spans="1:7">
      <c r="A55" s="19"/>
      <c r="B55" s="19" t="s">
        <v>6</v>
      </c>
      <c r="C55" s="25" t="s">
        <v>10</v>
      </c>
      <c r="D55" s="19"/>
      <c r="E55" s="26">
        <v>45</v>
      </c>
      <c r="F55" s="26"/>
      <c r="G55" s="1"/>
    </row>
    <row r="56" spans="1:7">
      <c r="A56" s="19"/>
      <c r="B56" s="19" t="s">
        <v>7</v>
      </c>
      <c r="C56" s="27" t="s">
        <v>11</v>
      </c>
      <c r="D56" s="19"/>
      <c r="E56" s="26"/>
      <c r="F56" s="26">
        <f>E57</f>
        <v>38545</v>
      </c>
      <c r="G56" s="1"/>
    </row>
    <row r="57" spans="1:7">
      <c r="A57" s="28"/>
      <c r="B57" s="28"/>
      <c r="C57" s="28"/>
      <c r="D57" s="28"/>
      <c r="E57" s="29">
        <f>SUM(E53:E56)</f>
        <v>38545</v>
      </c>
      <c r="F57" s="29">
        <f>SUM(F53:F56)</f>
        <v>38545</v>
      </c>
      <c r="G57" s="1"/>
    </row>
    <row r="58" spans="1:7" ht="14.4" customHeight="1">
      <c r="A58" s="30" t="str">
        <f>A48</f>
        <v>Being Expenses paid via cheque no. 77483718.</v>
      </c>
      <c r="B58" s="31"/>
      <c r="C58" s="31"/>
      <c r="D58" s="31"/>
      <c r="E58" s="31"/>
      <c r="F58" s="32"/>
      <c r="G58" s="1"/>
    </row>
    <row r="59" spans="1:7">
      <c r="A59" s="33"/>
      <c r="B59" s="33"/>
      <c r="C59" s="33"/>
      <c r="D59" s="33"/>
      <c r="E59" s="33"/>
      <c r="F59" s="33"/>
      <c r="G59" s="1"/>
    </row>
    <row r="60" spans="1:7">
      <c r="A60" s="15" t="s">
        <v>0</v>
      </c>
      <c r="B60" s="16"/>
      <c r="C60" s="16"/>
      <c r="D60" s="16"/>
      <c r="E60" s="16"/>
      <c r="F60" s="17"/>
      <c r="G60" s="1"/>
    </row>
    <row r="61" spans="1:7">
      <c r="A61" s="19" t="s">
        <v>1</v>
      </c>
      <c r="B61" s="19"/>
      <c r="C61" s="20"/>
      <c r="D61" s="19" t="s">
        <v>2</v>
      </c>
      <c r="E61" s="21" t="str">
        <f>E51</f>
        <v>.2083-03-01</v>
      </c>
      <c r="F61" s="22"/>
      <c r="G61" s="1"/>
    </row>
    <row r="62" spans="1:7">
      <c r="A62" s="19"/>
      <c r="B62" s="19"/>
      <c r="C62" s="23" t="s">
        <v>4</v>
      </c>
      <c r="D62" s="23" t="s">
        <v>5</v>
      </c>
      <c r="E62" s="24" t="s">
        <v>6</v>
      </c>
      <c r="F62" s="24" t="s">
        <v>7</v>
      </c>
      <c r="G62" s="1"/>
    </row>
    <row r="63" spans="1:7">
      <c r="A63" s="19"/>
      <c r="B63" s="19" t="s">
        <v>6</v>
      </c>
      <c r="C63" s="25" t="s">
        <v>8</v>
      </c>
      <c r="D63" s="19"/>
      <c r="E63" s="26">
        <v>32725</v>
      </c>
      <c r="F63" s="26"/>
      <c r="G63" s="1"/>
    </row>
    <row r="64" spans="1:7">
      <c r="A64" s="19"/>
      <c r="B64" s="19" t="s">
        <v>6</v>
      </c>
      <c r="C64" s="25" t="s">
        <v>9</v>
      </c>
      <c r="D64" s="19"/>
      <c r="E64" s="26">
        <v>5775</v>
      </c>
      <c r="F64" s="26"/>
      <c r="G64" s="1"/>
    </row>
    <row r="65" spans="1:7">
      <c r="A65" s="19"/>
      <c r="B65" s="19" t="s">
        <v>6</v>
      </c>
      <c r="C65" s="25" t="s">
        <v>10</v>
      </c>
      <c r="D65" s="19"/>
      <c r="E65" s="26">
        <v>116</v>
      </c>
      <c r="F65" s="26"/>
      <c r="G65" s="1"/>
    </row>
    <row r="66" spans="1:7">
      <c r="A66" s="19"/>
      <c r="B66" s="19" t="s">
        <v>7</v>
      </c>
      <c r="C66" s="27" t="s">
        <v>11</v>
      </c>
      <c r="D66" s="19"/>
      <c r="E66" s="26"/>
      <c r="F66" s="26">
        <f>E67</f>
        <v>38616</v>
      </c>
      <c r="G66" s="1"/>
    </row>
    <row r="67" spans="1:7">
      <c r="A67" s="28"/>
      <c r="B67" s="28"/>
      <c r="C67" s="28"/>
      <c r="D67" s="28"/>
      <c r="E67" s="29">
        <f>SUM(E63:E66)</f>
        <v>38616</v>
      </c>
      <c r="F67" s="29">
        <f>SUM(F63:F66)</f>
        <v>38616</v>
      </c>
      <c r="G67" s="1"/>
    </row>
    <row r="68" spans="1:7" ht="14.4" customHeight="1">
      <c r="A68" s="30" t="str">
        <f>A58</f>
        <v>Being Expenses paid via cheque no. 77483718.</v>
      </c>
      <c r="B68" s="31"/>
      <c r="C68" s="31"/>
      <c r="D68" s="31"/>
      <c r="E68" s="31"/>
      <c r="F68" s="32"/>
      <c r="G68" s="1"/>
    </row>
    <row r="69" spans="1:7">
      <c r="A69" s="33"/>
      <c r="B69" s="33"/>
      <c r="C69" s="33"/>
      <c r="D69" s="33"/>
      <c r="E69" s="33"/>
      <c r="F69" s="33"/>
      <c r="G69" s="1"/>
    </row>
    <row r="70" spans="1:7">
      <c r="A70" s="15" t="s">
        <v>0</v>
      </c>
      <c r="B70" s="16"/>
      <c r="C70" s="16"/>
      <c r="D70" s="16"/>
      <c r="E70" s="16"/>
      <c r="F70" s="17"/>
      <c r="G70" s="1"/>
    </row>
    <row r="71" spans="1:7">
      <c r="A71" s="19" t="s">
        <v>1</v>
      </c>
      <c r="B71" s="19"/>
      <c r="C71" s="20"/>
      <c r="D71" s="19" t="s">
        <v>2</v>
      </c>
      <c r="E71" s="21" t="str">
        <f>E61</f>
        <v>.2083-03-01</v>
      </c>
      <c r="F71" s="22"/>
      <c r="G71" s="1"/>
    </row>
    <row r="72" spans="1:7">
      <c r="A72" s="19"/>
      <c r="B72" s="19"/>
      <c r="C72" s="23" t="s">
        <v>4</v>
      </c>
      <c r="D72" s="23" t="s">
        <v>5</v>
      </c>
      <c r="E72" s="24" t="s">
        <v>6</v>
      </c>
      <c r="F72" s="24" t="s">
        <v>7</v>
      </c>
      <c r="G72" s="1"/>
    </row>
    <row r="73" spans="1:7">
      <c r="A73" s="19"/>
      <c r="B73" s="19" t="s">
        <v>6</v>
      </c>
      <c r="C73" s="25" t="s">
        <v>8</v>
      </c>
      <c r="D73" s="19"/>
      <c r="E73" s="26">
        <v>32725</v>
      </c>
      <c r="F73" s="26"/>
      <c r="G73" s="1"/>
    </row>
    <row r="74" spans="1:7">
      <c r="A74" s="19"/>
      <c r="B74" s="19" t="s">
        <v>6</v>
      </c>
      <c r="C74" s="25" t="s">
        <v>9</v>
      </c>
      <c r="D74" s="19"/>
      <c r="E74" s="26">
        <v>5775</v>
      </c>
      <c r="F74" s="26"/>
      <c r="G74" s="1"/>
    </row>
    <row r="75" spans="1:7">
      <c r="A75" s="19"/>
      <c r="B75" s="19" t="s">
        <v>6</v>
      </c>
      <c r="C75" s="25" t="s">
        <v>10</v>
      </c>
      <c r="D75" s="19"/>
      <c r="E75" s="26">
        <v>20</v>
      </c>
      <c r="F75" s="26"/>
      <c r="G75" s="1"/>
    </row>
    <row r="76" spans="1:7">
      <c r="A76" s="19"/>
      <c r="B76" s="19" t="s">
        <v>7</v>
      </c>
      <c r="C76" s="27" t="s">
        <v>11</v>
      </c>
      <c r="D76" s="19"/>
      <c r="E76" s="26"/>
      <c r="F76" s="26">
        <f>E77</f>
        <v>38520</v>
      </c>
      <c r="G76" s="1"/>
    </row>
    <row r="77" spans="1:7">
      <c r="A77" s="28"/>
      <c r="B77" s="28"/>
      <c r="C77" s="28"/>
      <c r="D77" s="28"/>
      <c r="E77" s="29">
        <f>SUM(E73:E76)</f>
        <v>38520</v>
      </c>
      <c r="F77" s="29">
        <f>SUM(F73:F76)</f>
        <v>38520</v>
      </c>
      <c r="G77" s="1"/>
    </row>
    <row r="78" spans="1:7" ht="14.4" customHeight="1">
      <c r="A78" s="30" t="str">
        <f>A68</f>
        <v>Being Expenses paid via cheque no. 77483718.</v>
      </c>
      <c r="B78" s="31"/>
      <c r="C78" s="31"/>
      <c r="D78" s="31"/>
      <c r="E78" s="31"/>
      <c r="F78" s="32"/>
      <c r="G78" s="1"/>
    </row>
    <row r="79" spans="1:7">
      <c r="A79" s="33"/>
      <c r="B79" s="33"/>
      <c r="C79" s="33"/>
      <c r="D79" s="33"/>
      <c r="E79" s="33"/>
      <c r="F79" s="33"/>
      <c r="G79" s="1"/>
    </row>
    <row r="80" spans="1:7">
      <c r="A80" s="15" t="s">
        <v>0</v>
      </c>
      <c r="B80" s="16"/>
      <c r="C80" s="16"/>
      <c r="D80" s="16"/>
      <c r="E80" s="16"/>
      <c r="F80" s="17"/>
      <c r="G80" s="1"/>
    </row>
    <row r="81" spans="1:7">
      <c r="A81" s="19" t="s">
        <v>1</v>
      </c>
      <c r="B81" s="19"/>
      <c r="C81" s="20"/>
      <c r="D81" s="19" t="s">
        <v>2</v>
      </c>
      <c r="E81" s="21" t="str">
        <f>E71</f>
        <v>.2083-03-01</v>
      </c>
      <c r="F81" s="22"/>
      <c r="G81" s="1"/>
    </row>
    <row r="82" spans="1:7">
      <c r="A82" s="19"/>
      <c r="B82" s="19"/>
      <c r="C82" s="23" t="s">
        <v>4</v>
      </c>
      <c r="D82" s="23" t="s">
        <v>5</v>
      </c>
      <c r="E82" s="24" t="s">
        <v>6</v>
      </c>
      <c r="F82" s="24" t="s">
        <v>7</v>
      </c>
      <c r="G82" s="1"/>
    </row>
    <row r="83" spans="1:7">
      <c r="A83" s="19"/>
      <c r="B83" s="19" t="s">
        <v>6</v>
      </c>
      <c r="C83" s="25" t="s">
        <v>8</v>
      </c>
      <c r="D83" s="19"/>
      <c r="E83" s="26">
        <v>32725</v>
      </c>
      <c r="F83" s="26"/>
      <c r="G83" s="1"/>
    </row>
    <row r="84" spans="1:7">
      <c r="A84" s="19"/>
      <c r="B84" s="19" t="s">
        <v>6</v>
      </c>
      <c r="C84" s="25" t="s">
        <v>9</v>
      </c>
      <c r="D84" s="19"/>
      <c r="E84" s="26">
        <v>5775</v>
      </c>
      <c r="F84" s="26"/>
      <c r="G84" s="1"/>
    </row>
    <row r="85" spans="1:7">
      <c r="A85" s="19"/>
      <c r="B85" s="19" t="s">
        <v>6</v>
      </c>
      <c r="C85" s="25" t="s">
        <v>10</v>
      </c>
      <c r="D85" s="19"/>
      <c r="E85" s="26">
        <v>88</v>
      </c>
      <c r="F85" s="26"/>
      <c r="G85" s="1"/>
    </row>
    <row r="86" spans="1:7">
      <c r="A86" s="19"/>
      <c r="B86" s="19" t="s">
        <v>7</v>
      </c>
      <c r="C86" s="27" t="s">
        <v>11</v>
      </c>
      <c r="D86" s="19"/>
      <c r="E86" s="26"/>
      <c r="F86" s="26">
        <f>E87</f>
        <v>38588</v>
      </c>
      <c r="G86" s="1"/>
    </row>
    <row r="87" spans="1:7">
      <c r="A87" s="28"/>
      <c r="B87" s="28"/>
      <c r="C87" s="28"/>
      <c r="D87" s="28"/>
      <c r="E87" s="29">
        <f>SUM(E83:E86)</f>
        <v>38588</v>
      </c>
      <c r="F87" s="29">
        <f>SUM(F83:F86)</f>
        <v>38588</v>
      </c>
      <c r="G87" s="1"/>
    </row>
    <row r="88" spans="1:7" ht="14.4" customHeight="1">
      <c r="A88" s="30" t="str">
        <f>A78</f>
        <v>Being Expenses paid via cheque no. 77483718.</v>
      </c>
      <c r="B88" s="31"/>
      <c r="C88" s="31"/>
      <c r="D88" s="31"/>
      <c r="E88" s="31"/>
      <c r="F88" s="32"/>
      <c r="G88" s="1"/>
    </row>
    <row r="89" spans="1:7">
      <c r="A89" s="33"/>
      <c r="B89" s="33"/>
      <c r="C89" s="33"/>
      <c r="D89" s="33"/>
      <c r="E89" s="33"/>
      <c r="F89" s="33"/>
      <c r="G89" s="1"/>
    </row>
    <row r="90" spans="1:7">
      <c r="A90" s="15" t="s">
        <v>0</v>
      </c>
      <c r="B90" s="16"/>
      <c r="C90" s="16"/>
      <c r="D90" s="16"/>
      <c r="E90" s="16"/>
      <c r="F90" s="17"/>
      <c r="G90" s="1"/>
    </row>
    <row r="91" spans="1:7">
      <c r="A91" s="19" t="s">
        <v>1</v>
      </c>
      <c r="B91" s="19"/>
      <c r="C91" s="20"/>
      <c r="D91" s="19" t="s">
        <v>2</v>
      </c>
      <c r="E91" s="21" t="str">
        <f>E81</f>
        <v>.2083-03-01</v>
      </c>
      <c r="F91" s="22"/>
      <c r="G91" s="1"/>
    </row>
    <row r="92" spans="1:7">
      <c r="A92" s="19"/>
      <c r="B92" s="19"/>
      <c r="C92" s="23" t="s">
        <v>4</v>
      </c>
      <c r="D92" s="23" t="s">
        <v>5</v>
      </c>
      <c r="E92" s="24" t="s">
        <v>6</v>
      </c>
      <c r="F92" s="24" t="s">
        <v>7</v>
      </c>
      <c r="G92" s="1"/>
    </row>
    <row r="93" spans="1:7">
      <c r="A93" s="19"/>
      <c r="B93" s="19" t="s">
        <v>6</v>
      </c>
      <c r="C93" s="25" t="s">
        <v>8</v>
      </c>
      <c r="D93" s="19"/>
      <c r="E93" s="26">
        <v>32725</v>
      </c>
      <c r="F93" s="26"/>
      <c r="G93" s="1"/>
    </row>
    <row r="94" spans="1:7">
      <c r="A94" s="19"/>
      <c r="B94" s="19" t="s">
        <v>6</v>
      </c>
      <c r="C94" s="25" t="s">
        <v>9</v>
      </c>
      <c r="D94" s="19"/>
      <c r="E94" s="26">
        <v>5775</v>
      </c>
      <c r="F94" s="26"/>
      <c r="G94" s="1"/>
    </row>
    <row r="95" spans="1:7">
      <c r="A95" s="19"/>
      <c r="B95" s="19" t="s">
        <v>6</v>
      </c>
      <c r="C95" s="25" t="s">
        <v>10</v>
      </c>
      <c r="D95" s="19"/>
      <c r="E95" s="26">
        <v>56</v>
      </c>
      <c r="F95" s="26"/>
      <c r="G95" s="1"/>
    </row>
    <row r="96" spans="1:7">
      <c r="A96" s="19"/>
      <c r="B96" s="19" t="s">
        <v>7</v>
      </c>
      <c r="C96" s="27" t="s">
        <v>11</v>
      </c>
      <c r="D96" s="19"/>
      <c r="E96" s="26"/>
      <c r="F96" s="26">
        <f>E97</f>
        <v>38556</v>
      </c>
      <c r="G96" s="1"/>
    </row>
    <row r="97" spans="1:7">
      <c r="A97" s="28"/>
      <c r="B97" s="28"/>
      <c r="C97" s="28"/>
      <c r="D97" s="28"/>
      <c r="E97" s="29">
        <f>SUM(E93:E96)</f>
        <v>38556</v>
      </c>
      <c r="F97" s="29">
        <f>SUM(F93:F96)</f>
        <v>38556</v>
      </c>
      <c r="G97" s="1"/>
    </row>
    <row r="98" spans="1:7" ht="14.4" customHeight="1">
      <c r="A98" s="30" t="str">
        <f>A88</f>
        <v>Being Expenses paid via cheque no. 77483718.</v>
      </c>
      <c r="B98" s="31"/>
      <c r="C98" s="31"/>
      <c r="D98" s="31"/>
      <c r="E98" s="31"/>
      <c r="F98" s="32"/>
      <c r="G98" s="1"/>
    </row>
    <row r="99" spans="1:7">
      <c r="A99" s="33"/>
      <c r="B99" s="33"/>
      <c r="C99" s="33"/>
      <c r="D99" s="33"/>
      <c r="E99" s="33"/>
      <c r="F99" s="33"/>
      <c r="G99" s="1"/>
    </row>
    <row r="100" spans="1:7">
      <c r="A100" s="15" t="s">
        <v>0</v>
      </c>
      <c r="B100" s="16"/>
      <c r="C100" s="16"/>
      <c r="D100" s="16"/>
      <c r="E100" s="16"/>
      <c r="F100" s="17"/>
      <c r="G100" s="1"/>
    </row>
    <row r="101" spans="1:7">
      <c r="A101" s="19" t="s">
        <v>1</v>
      </c>
      <c r="B101" s="19"/>
      <c r="C101" s="20"/>
      <c r="D101" s="19" t="s">
        <v>2</v>
      </c>
      <c r="E101" s="21" t="str">
        <f>E91</f>
        <v>.2083-03-01</v>
      </c>
      <c r="F101" s="22"/>
      <c r="G101" s="1"/>
    </row>
    <row r="102" spans="1:7">
      <c r="A102" s="19"/>
      <c r="B102" s="19"/>
      <c r="C102" s="23" t="s">
        <v>4</v>
      </c>
      <c r="D102" s="23" t="s">
        <v>5</v>
      </c>
      <c r="E102" s="24" t="s">
        <v>6</v>
      </c>
      <c r="F102" s="24" t="s">
        <v>7</v>
      </c>
      <c r="G102" s="1"/>
    </row>
    <row r="103" spans="1:7">
      <c r="A103" s="19"/>
      <c r="B103" s="19" t="s">
        <v>6</v>
      </c>
      <c r="C103" s="25" t="s">
        <v>8</v>
      </c>
      <c r="D103" s="19"/>
      <c r="E103" s="26">
        <v>32725</v>
      </c>
      <c r="F103" s="26"/>
      <c r="G103" s="1"/>
    </row>
    <row r="104" spans="1:7">
      <c r="A104" s="19"/>
      <c r="B104" s="19" t="s">
        <v>6</v>
      </c>
      <c r="C104" s="25" t="s">
        <v>9</v>
      </c>
      <c r="D104" s="19"/>
      <c r="E104" s="26">
        <v>5775</v>
      </c>
      <c r="F104" s="26"/>
      <c r="G104" s="1"/>
    </row>
    <row r="105" spans="1:7">
      <c r="A105" s="19"/>
      <c r="B105" s="19" t="s">
        <v>6</v>
      </c>
      <c r="C105" s="25" t="s">
        <v>10</v>
      </c>
      <c r="D105" s="19"/>
      <c r="E105" s="26">
        <v>252</v>
      </c>
      <c r="F105" s="26"/>
      <c r="G105" s="1"/>
    </row>
    <row r="106" spans="1:7">
      <c r="A106" s="19"/>
      <c r="B106" s="19" t="s">
        <v>7</v>
      </c>
      <c r="C106" s="27" t="s">
        <v>11</v>
      </c>
      <c r="D106" s="19"/>
      <c r="E106" s="26"/>
      <c r="F106" s="26">
        <f>E107</f>
        <v>38752</v>
      </c>
      <c r="G106" s="1"/>
    </row>
    <row r="107" spans="1:7">
      <c r="A107" s="28"/>
      <c r="B107" s="28"/>
      <c r="C107" s="28"/>
      <c r="D107" s="28"/>
      <c r="E107" s="29">
        <f>SUM(E103:E106)</f>
        <v>38752</v>
      </c>
      <c r="F107" s="29">
        <f>SUM(F103:F106)</f>
        <v>38752</v>
      </c>
      <c r="G107" s="1"/>
    </row>
    <row r="108" spans="1:7" ht="14.4" customHeight="1">
      <c r="A108" s="30" t="str">
        <f>A98</f>
        <v>Being Expenses paid via cheque no. 77483718.</v>
      </c>
      <c r="B108" s="31"/>
      <c r="C108" s="31"/>
      <c r="D108" s="31"/>
      <c r="E108" s="31"/>
      <c r="F108" s="32"/>
      <c r="G108" s="1"/>
    </row>
    <row r="109" spans="1:7">
      <c r="A109" s="33"/>
      <c r="B109" s="33"/>
      <c r="C109" s="33"/>
      <c r="D109" s="33"/>
      <c r="E109" s="33"/>
      <c r="F109" s="33"/>
      <c r="G109" s="1"/>
    </row>
    <row r="110" spans="1:7">
      <c r="A110" s="15" t="s">
        <v>0</v>
      </c>
      <c r="B110" s="16"/>
      <c r="C110" s="16"/>
      <c r="D110" s="16"/>
      <c r="E110" s="16"/>
      <c r="F110" s="17"/>
      <c r="G110" s="1"/>
    </row>
    <row r="111" spans="1:7">
      <c r="A111" s="19" t="s">
        <v>1</v>
      </c>
      <c r="B111" s="19"/>
      <c r="C111" s="20"/>
      <c r="D111" s="19" t="s">
        <v>2</v>
      </c>
      <c r="E111" s="21" t="str">
        <f>E101</f>
        <v>.2083-03-01</v>
      </c>
      <c r="F111" s="22"/>
      <c r="G111" s="1"/>
    </row>
    <row r="112" spans="1:7">
      <c r="A112" s="19"/>
      <c r="B112" s="19"/>
      <c r="C112" s="23" t="s">
        <v>4</v>
      </c>
      <c r="D112" s="23" t="s">
        <v>5</v>
      </c>
      <c r="E112" s="24" t="s">
        <v>6</v>
      </c>
      <c r="F112" s="24" t="s">
        <v>7</v>
      </c>
      <c r="G112" s="1"/>
    </row>
    <row r="113" spans="1:7">
      <c r="A113" s="19"/>
      <c r="B113" s="19" t="s">
        <v>6</v>
      </c>
      <c r="C113" s="25" t="s">
        <v>8</v>
      </c>
      <c r="D113" s="19"/>
      <c r="E113" s="26">
        <v>42075</v>
      </c>
      <c r="F113" s="26"/>
      <c r="G113" s="1"/>
    </row>
    <row r="114" spans="1:7">
      <c r="A114" s="19"/>
      <c r="B114" s="19" t="s">
        <v>6</v>
      </c>
      <c r="C114" s="25" t="s">
        <v>9</v>
      </c>
      <c r="D114" s="19"/>
      <c r="E114" s="26">
        <v>7425</v>
      </c>
      <c r="F114" s="26"/>
      <c r="G114" s="1"/>
    </row>
    <row r="115" spans="1:7">
      <c r="A115" s="19"/>
      <c r="B115" s="19" t="s">
        <v>6</v>
      </c>
      <c r="C115" s="25" t="s">
        <v>10</v>
      </c>
      <c r="D115" s="19"/>
      <c r="E115" s="26">
        <v>45</v>
      </c>
      <c r="F115" s="26"/>
      <c r="G115" s="1"/>
    </row>
    <row r="116" spans="1:7">
      <c r="A116" s="19"/>
      <c r="B116" s="19" t="s">
        <v>7</v>
      </c>
      <c r="C116" s="27" t="s">
        <v>11</v>
      </c>
      <c r="D116" s="19"/>
      <c r="E116" s="26"/>
      <c r="F116" s="26">
        <f>E117</f>
        <v>49545</v>
      </c>
      <c r="G116" s="1"/>
    </row>
    <row r="117" spans="1:7">
      <c r="A117" s="28"/>
      <c r="B117" s="28"/>
      <c r="C117" s="28"/>
      <c r="D117" s="28"/>
      <c r="E117" s="29">
        <f>SUM(E113:E116)</f>
        <v>49545</v>
      </c>
      <c r="F117" s="29">
        <f>SUM(F113:F116)</f>
        <v>49545</v>
      </c>
      <c r="G117" s="1"/>
    </row>
    <row r="118" spans="1:7" ht="14.4" customHeight="1">
      <c r="A118" s="30" t="str">
        <f>A108</f>
        <v>Being Expenses paid via cheque no. 77483718.</v>
      </c>
      <c r="B118" s="31"/>
      <c r="C118" s="31"/>
      <c r="D118" s="31"/>
      <c r="E118" s="31"/>
      <c r="F118" s="32"/>
      <c r="G118" s="1"/>
    </row>
    <row r="120" spans="1:7">
      <c r="A120" s="15" t="s">
        <v>0</v>
      </c>
      <c r="B120" s="16"/>
      <c r="C120" s="16"/>
      <c r="D120" s="16"/>
      <c r="E120" s="16"/>
      <c r="F120" s="17"/>
      <c r="G120" s="1"/>
    </row>
    <row r="121" spans="1:7">
      <c r="A121" s="19" t="s">
        <v>1</v>
      </c>
      <c r="B121" s="19"/>
      <c r="C121" s="20"/>
      <c r="D121" s="19" t="s">
        <v>2</v>
      </c>
      <c r="E121" s="21" t="s">
        <v>3</v>
      </c>
      <c r="F121" s="22"/>
      <c r="G121" s="1"/>
    </row>
    <row r="122" spans="1:7">
      <c r="A122" s="19"/>
      <c r="B122" s="19"/>
      <c r="C122" s="23" t="s">
        <v>4</v>
      </c>
      <c r="D122" s="23" t="s">
        <v>5</v>
      </c>
      <c r="E122" s="24" t="s">
        <v>6</v>
      </c>
      <c r="F122" s="24" t="s">
        <v>7</v>
      </c>
      <c r="G122" s="1"/>
    </row>
    <row r="123" spans="1:7">
      <c r="A123" s="19"/>
      <c r="B123" s="19" t="s">
        <v>6</v>
      </c>
      <c r="C123" s="27" t="s">
        <v>14</v>
      </c>
      <c r="D123" s="19"/>
      <c r="E123" s="26">
        <v>234000</v>
      </c>
      <c r="F123" s="26"/>
      <c r="G123" s="1"/>
    </row>
    <row r="124" spans="1:7">
      <c r="A124" s="19"/>
      <c r="B124" s="19" t="s">
        <v>7</v>
      </c>
      <c r="C124" s="27" t="s">
        <v>11</v>
      </c>
      <c r="D124" s="19"/>
      <c r="E124" s="26"/>
      <c r="F124" s="26">
        <f>E125</f>
        <v>234000</v>
      </c>
      <c r="G124" s="1"/>
    </row>
    <row r="125" spans="1:7">
      <c r="A125" s="28"/>
      <c r="B125" s="28"/>
      <c r="C125" s="28"/>
      <c r="D125" s="28"/>
      <c r="E125" s="29">
        <f>SUM(E123:E124)</f>
        <v>234000</v>
      </c>
      <c r="F125" s="29">
        <f>SUM(F123:F124)</f>
        <v>234000</v>
      </c>
      <c r="G125" s="1">
        <f>E125-F125</f>
        <v>0</v>
      </c>
    </row>
    <row r="126" spans="1:7">
      <c r="A126" s="30" t="s">
        <v>15</v>
      </c>
      <c r="B126" s="31"/>
      <c r="C126" s="31"/>
      <c r="D126" s="31"/>
      <c r="E126" s="31"/>
      <c r="F126" s="32"/>
      <c r="G126" s="1"/>
    </row>
    <row r="127" spans="1:7">
      <c r="A127" s="34"/>
      <c r="B127" s="34"/>
      <c r="C127" s="34"/>
      <c r="D127" s="34"/>
      <c r="E127" s="34"/>
      <c r="F127" s="34"/>
      <c r="G127" s="1"/>
    </row>
    <row r="128" spans="1:7" s="38" customFormat="1">
      <c r="A128" s="35" t="s">
        <v>0</v>
      </c>
      <c r="B128" s="36"/>
      <c r="C128" s="36"/>
      <c r="D128" s="36"/>
      <c r="E128" s="36"/>
      <c r="F128" s="37"/>
    </row>
    <row r="129" spans="1:10" s="38" customFormat="1">
      <c r="A129" s="27" t="s">
        <v>1</v>
      </c>
      <c r="B129" s="27"/>
      <c r="C129" s="39"/>
      <c r="D129" s="27" t="s">
        <v>2</v>
      </c>
      <c r="E129" s="2" t="s">
        <v>3</v>
      </c>
      <c r="F129" s="3"/>
    </row>
    <row r="130" spans="1:10" s="38" customFormat="1">
      <c r="A130" s="27"/>
      <c r="B130" s="27"/>
      <c r="C130" s="40" t="s">
        <v>4</v>
      </c>
      <c r="D130" s="40" t="s">
        <v>5</v>
      </c>
      <c r="E130" s="4" t="s">
        <v>6</v>
      </c>
      <c r="F130" s="4" t="s">
        <v>7</v>
      </c>
    </row>
    <row r="131" spans="1:10" s="38" customFormat="1">
      <c r="A131" s="27"/>
      <c r="B131" s="27" t="s">
        <v>6</v>
      </c>
      <c r="C131" s="27" t="s">
        <v>16</v>
      </c>
      <c r="D131" s="27"/>
      <c r="E131" s="5">
        <v>960500</v>
      </c>
      <c r="F131" s="5"/>
    </row>
    <row r="132" spans="1:10" s="38" customFormat="1">
      <c r="A132" s="27"/>
      <c r="B132" s="27" t="s">
        <v>7</v>
      </c>
      <c r="C132" s="27" t="s">
        <v>11</v>
      </c>
      <c r="D132" s="27"/>
      <c r="E132" s="5"/>
      <c r="F132" s="5">
        <f>E133</f>
        <v>960500</v>
      </c>
    </row>
    <row r="133" spans="1:10" s="38" customFormat="1">
      <c r="A133" s="41"/>
      <c r="B133" s="41"/>
      <c r="C133" s="41"/>
      <c r="D133" s="41"/>
      <c r="E133" s="6">
        <f>SUM(E131:E132)</f>
        <v>960500</v>
      </c>
      <c r="F133" s="6">
        <f>SUM(F132)</f>
        <v>960500</v>
      </c>
      <c r="J133" s="42"/>
    </row>
    <row r="134" spans="1:10" s="38" customFormat="1" ht="60" customHeight="1">
      <c r="A134" s="43" t="s">
        <v>17</v>
      </c>
      <c r="B134" s="44"/>
      <c r="C134" s="44"/>
      <c r="D134" s="44"/>
      <c r="E134" s="44"/>
      <c r="F134" s="45"/>
    </row>
    <row r="135" spans="1:10" s="38" customFormat="1">
      <c r="A135" s="46"/>
      <c r="B135" s="46"/>
      <c r="C135" s="46"/>
      <c r="D135" s="46"/>
      <c r="E135" s="46"/>
      <c r="F135" s="46"/>
    </row>
    <row r="136" spans="1:10">
      <c r="A136" s="47" t="s">
        <v>0</v>
      </c>
      <c r="B136" s="48"/>
      <c r="C136" s="48"/>
      <c r="D136" s="48"/>
      <c r="E136" s="48"/>
      <c r="F136" s="49"/>
      <c r="G136" s="7"/>
    </row>
    <row r="137" spans="1:10">
      <c r="A137" s="50" t="s">
        <v>1</v>
      </c>
      <c r="B137" s="50"/>
      <c r="C137" s="51"/>
      <c r="D137" s="50" t="s">
        <v>2</v>
      </c>
      <c r="E137" s="8" t="s">
        <v>3</v>
      </c>
      <c r="F137" s="9"/>
      <c r="G137" s="7"/>
    </row>
    <row r="138" spans="1:10">
      <c r="A138" s="50"/>
      <c r="B138" s="50"/>
      <c r="C138" s="52" t="s">
        <v>4</v>
      </c>
      <c r="D138" s="52" t="s">
        <v>5</v>
      </c>
      <c r="E138" s="10" t="s">
        <v>6</v>
      </c>
      <c r="F138" s="10" t="s">
        <v>7</v>
      </c>
      <c r="G138" s="7"/>
    </row>
    <row r="139" spans="1:10">
      <c r="A139" s="50"/>
      <c r="B139" s="50" t="s">
        <v>6</v>
      </c>
      <c r="C139" s="27" t="s">
        <v>18</v>
      </c>
      <c r="D139" s="50"/>
      <c r="E139" s="11">
        <v>508.5</v>
      </c>
      <c r="F139" s="11"/>
      <c r="G139" s="7"/>
    </row>
    <row r="140" spans="1:10">
      <c r="A140" s="50"/>
      <c r="B140" s="50" t="s">
        <v>6</v>
      </c>
      <c r="C140" s="27" t="s">
        <v>19</v>
      </c>
      <c r="D140" s="50"/>
      <c r="E140" s="11">
        <v>1600</v>
      </c>
      <c r="F140" s="11"/>
      <c r="G140" s="7"/>
    </row>
    <row r="141" spans="1:10">
      <c r="A141" s="50"/>
      <c r="B141" s="50" t="s">
        <v>6</v>
      </c>
      <c r="C141" s="27" t="s">
        <v>20</v>
      </c>
      <c r="D141" s="50"/>
      <c r="E141" s="11">
        <v>1414</v>
      </c>
      <c r="F141" s="11"/>
      <c r="G141" s="7"/>
    </row>
    <row r="142" spans="1:10">
      <c r="A142" s="50"/>
      <c r="B142" s="50" t="s">
        <v>7</v>
      </c>
      <c r="C142" s="27" t="s">
        <v>21</v>
      </c>
      <c r="D142" s="50"/>
      <c r="E142" s="11"/>
      <c r="F142" s="11">
        <v>6.75</v>
      </c>
      <c r="G142" s="7"/>
    </row>
    <row r="143" spans="1:10">
      <c r="A143" s="50"/>
      <c r="B143" s="50" t="s">
        <v>7</v>
      </c>
      <c r="C143" s="27" t="s">
        <v>22</v>
      </c>
      <c r="D143" s="50"/>
      <c r="E143" s="11"/>
      <c r="F143" s="11">
        <v>184</v>
      </c>
      <c r="G143" s="7"/>
    </row>
    <row r="144" spans="1:10">
      <c r="A144" s="50"/>
      <c r="B144" s="50" t="s">
        <v>7</v>
      </c>
      <c r="C144" s="27" t="s">
        <v>23</v>
      </c>
      <c r="D144" s="50"/>
      <c r="E144" s="11"/>
      <c r="F144" s="11">
        <v>14</v>
      </c>
      <c r="G144" s="7"/>
    </row>
    <row r="145" spans="1:10">
      <c r="A145" s="50"/>
      <c r="B145" s="50" t="s">
        <v>7</v>
      </c>
      <c r="C145" s="27" t="s">
        <v>24</v>
      </c>
      <c r="D145" s="50"/>
      <c r="E145" s="11"/>
      <c r="F145" s="11">
        <v>501.75</v>
      </c>
      <c r="G145" s="53">
        <f>F145/1.115</f>
        <v>450</v>
      </c>
      <c r="H145" s="53"/>
    </row>
    <row r="146" spans="1:10">
      <c r="A146" s="50"/>
      <c r="B146" s="50" t="s">
        <v>25</v>
      </c>
      <c r="C146" s="27" t="s">
        <v>26</v>
      </c>
      <c r="D146" s="50"/>
      <c r="E146" s="11"/>
      <c r="F146" s="11">
        <v>2816</v>
      </c>
      <c r="G146" s="7"/>
    </row>
    <row r="147" spans="1:10">
      <c r="A147" s="54"/>
      <c r="B147" s="54"/>
      <c r="C147" s="54"/>
      <c r="D147" s="54"/>
      <c r="E147" s="12">
        <f>SUM(E139:E146)</f>
        <v>3522.5</v>
      </c>
      <c r="F147" s="12">
        <f>SUM(F139:F146)</f>
        <v>3522.5</v>
      </c>
      <c r="G147" s="7">
        <f>E147-F147</f>
        <v>0</v>
      </c>
    </row>
    <row r="148" spans="1:10">
      <c r="A148" s="43" t="s">
        <v>27</v>
      </c>
      <c r="B148" s="44"/>
      <c r="C148" s="44"/>
      <c r="D148" s="44"/>
      <c r="E148" s="44"/>
      <c r="F148" s="45"/>
      <c r="G148" s="7"/>
    </row>
    <row r="150" spans="1:10" s="38" customFormat="1">
      <c r="A150" s="35" t="s">
        <v>0</v>
      </c>
      <c r="B150" s="36"/>
      <c r="C150" s="36"/>
      <c r="D150" s="36"/>
      <c r="E150" s="36"/>
      <c r="F150" s="37"/>
      <c r="J150" s="42"/>
    </row>
    <row r="151" spans="1:10" s="38" customFormat="1">
      <c r="A151" s="27" t="s">
        <v>1</v>
      </c>
      <c r="B151" s="27"/>
      <c r="C151" s="39"/>
      <c r="D151" s="27" t="s">
        <v>2</v>
      </c>
      <c r="E151" s="2" t="s">
        <v>28</v>
      </c>
      <c r="F151" s="3"/>
    </row>
    <row r="152" spans="1:10" s="38" customFormat="1">
      <c r="A152" s="27"/>
      <c r="B152" s="27"/>
      <c r="C152" s="40" t="s">
        <v>4</v>
      </c>
      <c r="D152" s="40" t="s">
        <v>5</v>
      </c>
      <c r="E152" s="4" t="s">
        <v>6</v>
      </c>
      <c r="F152" s="4" t="s">
        <v>7</v>
      </c>
    </row>
    <row r="153" spans="1:10" s="38" customFormat="1">
      <c r="A153" s="27"/>
      <c r="B153" s="27" t="s">
        <v>6</v>
      </c>
      <c r="C153" s="27" t="s">
        <v>29</v>
      </c>
      <c r="D153" s="27"/>
      <c r="E153" s="5">
        <v>3900</v>
      </c>
      <c r="F153" s="5"/>
    </row>
    <row r="154" spans="1:10" s="38" customFormat="1">
      <c r="A154" s="27"/>
      <c r="B154" s="27" t="s">
        <v>7</v>
      </c>
      <c r="C154" s="27" t="s">
        <v>30</v>
      </c>
      <c r="D154" s="27"/>
      <c r="E154" s="5"/>
      <c r="F154" s="5">
        <v>39</v>
      </c>
    </row>
    <row r="155" spans="1:10" s="38" customFormat="1">
      <c r="A155" s="27"/>
      <c r="B155" s="27" t="s">
        <v>7</v>
      </c>
      <c r="C155" s="27" t="s">
        <v>11</v>
      </c>
      <c r="D155" s="27"/>
      <c r="E155" s="5"/>
      <c r="F155" s="5">
        <f>E156-F154</f>
        <v>3861</v>
      </c>
    </row>
    <row r="156" spans="1:10" s="38" customFormat="1">
      <c r="A156" s="41"/>
      <c r="B156" s="41"/>
      <c r="C156" s="41"/>
      <c r="D156" s="41"/>
      <c r="E156" s="6">
        <f>SUM(E153:E155)</f>
        <v>3900</v>
      </c>
      <c r="F156" s="6">
        <f>SUM(F154:F155)</f>
        <v>3900</v>
      </c>
      <c r="G156" s="55">
        <f>E156-F156</f>
        <v>0</v>
      </c>
    </row>
    <row r="157" spans="1:10" s="38" customFormat="1">
      <c r="A157" s="43" t="s">
        <v>31</v>
      </c>
      <c r="B157" s="44"/>
      <c r="C157" s="44"/>
      <c r="D157" s="44"/>
      <c r="E157" s="44"/>
      <c r="F157" s="45"/>
    </row>
    <row r="158" spans="1:10" s="38" customFormat="1"/>
    <row r="159" spans="1:10" s="38" customFormat="1">
      <c r="A159" s="35" t="s">
        <v>0</v>
      </c>
      <c r="B159" s="36"/>
      <c r="C159" s="36"/>
      <c r="D159" s="36"/>
      <c r="E159" s="36"/>
      <c r="F159" s="37"/>
    </row>
    <row r="160" spans="1:10" s="38" customFormat="1">
      <c r="A160" s="27" t="s">
        <v>1</v>
      </c>
      <c r="B160" s="27"/>
      <c r="C160" s="39"/>
      <c r="D160" s="27" t="s">
        <v>2</v>
      </c>
      <c r="E160" s="2" t="str">
        <f>E151</f>
        <v>.2083-03-02</v>
      </c>
      <c r="F160" s="3"/>
    </row>
    <row r="161" spans="1:7" s="38" customFormat="1">
      <c r="A161" s="27"/>
      <c r="B161" s="27"/>
      <c r="C161" s="40" t="s">
        <v>4</v>
      </c>
      <c r="D161" s="40" t="s">
        <v>5</v>
      </c>
      <c r="E161" s="4" t="s">
        <v>6</v>
      </c>
      <c r="F161" s="4" t="s">
        <v>7</v>
      </c>
    </row>
    <row r="162" spans="1:7" s="38" customFormat="1">
      <c r="A162" s="27"/>
      <c r="B162" s="27" t="s">
        <v>6</v>
      </c>
      <c r="C162" s="27" t="s">
        <v>29</v>
      </c>
      <c r="D162" s="27"/>
      <c r="E162" s="5">
        <v>3750</v>
      </c>
      <c r="F162" s="5"/>
    </row>
    <row r="163" spans="1:7" s="38" customFormat="1">
      <c r="A163" s="27"/>
      <c r="B163" s="27" t="s">
        <v>7</v>
      </c>
      <c r="C163" s="27" t="s">
        <v>30</v>
      </c>
      <c r="D163" s="27"/>
      <c r="E163" s="5"/>
      <c r="F163" s="5">
        <v>38</v>
      </c>
    </row>
    <row r="164" spans="1:7" s="38" customFormat="1">
      <c r="A164" s="27"/>
      <c r="B164" s="27" t="s">
        <v>7</v>
      </c>
      <c r="C164" s="27" t="s">
        <v>11</v>
      </c>
      <c r="D164" s="27"/>
      <c r="E164" s="5"/>
      <c r="F164" s="5">
        <f>E165-F163</f>
        <v>3712</v>
      </c>
    </row>
    <row r="165" spans="1:7" s="38" customFormat="1">
      <c r="A165" s="41"/>
      <c r="B165" s="41"/>
      <c r="C165" s="41"/>
      <c r="D165" s="41"/>
      <c r="E165" s="6">
        <f>SUM(E162:E164)</f>
        <v>3750</v>
      </c>
      <c r="F165" s="6">
        <f>SUM(F163:F164)</f>
        <v>3750</v>
      </c>
      <c r="G165" s="55">
        <f>E165-F165</f>
        <v>0</v>
      </c>
    </row>
    <row r="166" spans="1:7" s="38" customFormat="1" ht="14.4" customHeight="1">
      <c r="A166" s="43" t="s">
        <v>32</v>
      </c>
      <c r="B166" s="44"/>
      <c r="C166" s="44"/>
      <c r="D166" s="44"/>
      <c r="E166" s="44"/>
      <c r="F166" s="45"/>
    </row>
    <row r="167" spans="1:7" s="38" customFormat="1"/>
    <row r="168" spans="1:7" s="38" customFormat="1">
      <c r="A168" s="35" t="s">
        <v>0</v>
      </c>
      <c r="B168" s="36"/>
      <c r="C168" s="36"/>
      <c r="D168" s="36"/>
      <c r="E168" s="36"/>
      <c r="F168" s="37"/>
    </row>
    <row r="169" spans="1:7" s="38" customFormat="1">
      <c r="A169" s="27" t="s">
        <v>1</v>
      </c>
      <c r="B169" s="27"/>
      <c r="C169" s="39"/>
      <c r="D169" s="27" t="s">
        <v>2</v>
      </c>
      <c r="E169" s="2" t="str">
        <f>E160</f>
        <v>.2083-03-02</v>
      </c>
      <c r="F169" s="3"/>
    </row>
    <row r="170" spans="1:7" s="38" customFormat="1">
      <c r="A170" s="27"/>
      <c r="B170" s="27"/>
      <c r="C170" s="40" t="s">
        <v>4</v>
      </c>
      <c r="D170" s="40" t="s">
        <v>5</v>
      </c>
      <c r="E170" s="4" t="s">
        <v>6</v>
      </c>
      <c r="F170" s="4" t="s">
        <v>7</v>
      </c>
    </row>
    <row r="171" spans="1:7" s="38" customFormat="1">
      <c r="A171" s="27"/>
      <c r="B171" s="27" t="s">
        <v>6</v>
      </c>
      <c r="C171" s="27" t="s">
        <v>29</v>
      </c>
      <c r="D171" s="27"/>
      <c r="E171" s="5">
        <v>3750</v>
      </c>
      <c r="F171" s="5"/>
    </row>
    <row r="172" spans="1:7" s="38" customFormat="1">
      <c r="A172" s="27"/>
      <c r="B172" s="27" t="s">
        <v>7</v>
      </c>
      <c r="C172" s="27" t="s">
        <v>30</v>
      </c>
      <c r="D172" s="27"/>
      <c r="E172" s="5"/>
      <c r="F172" s="5">
        <v>38</v>
      </c>
    </row>
    <row r="173" spans="1:7" s="38" customFormat="1">
      <c r="A173" s="27"/>
      <c r="B173" s="27" t="s">
        <v>7</v>
      </c>
      <c r="C173" s="27" t="s">
        <v>11</v>
      </c>
      <c r="D173" s="27"/>
      <c r="E173" s="5"/>
      <c r="F173" s="5">
        <f>E174-F172</f>
        <v>3712</v>
      </c>
    </row>
    <row r="174" spans="1:7" s="38" customFormat="1">
      <c r="A174" s="41"/>
      <c r="B174" s="41"/>
      <c r="C174" s="41"/>
      <c r="D174" s="41"/>
      <c r="E174" s="6">
        <f>SUM(E171:E173)</f>
        <v>3750</v>
      </c>
      <c r="F174" s="6">
        <f>SUM(F172:F173)</f>
        <v>3750</v>
      </c>
      <c r="G174" s="55">
        <f>E174-F174</f>
        <v>0</v>
      </c>
    </row>
    <row r="175" spans="1:7" s="38" customFormat="1" ht="14.4" customHeight="1">
      <c r="A175" s="43" t="s">
        <v>33</v>
      </c>
      <c r="B175" s="44"/>
      <c r="C175" s="44"/>
      <c r="D175" s="44"/>
      <c r="E175" s="44"/>
      <c r="F175" s="45"/>
    </row>
    <row r="176" spans="1:7" s="38" customFormat="1"/>
    <row r="177" spans="1:7" s="38" customFormat="1">
      <c r="A177" s="35" t="s">
        <v>0</v>
      </c>
      <c r="B177" s="36"/>
      <c r="C177" s="36"/>
      <c r="D177" s="36"/>
      <c r="E177" s="36"/>
      <c r="F177" s="37"/>
    </row>
    <row r="178" spans="1:7" s="38" customFormat="1">
      <c r="A178" s="27" t="s">
        <v>1</v>
      </c>
      <c r="B178" s="27"/>
      <c r="C178" s="39"/>
      <c r="D178" s="27" t="s">
        <v>2</v>
      </c>
      <c r="E178" s="2" t="str">
        <f>E169</f>
        <v>.2083-03-02</v>
      </c>
      <c r="F178" s="3"/>
    </row>
    <row r="179" spans="1:7" s="38" customFormat="1">
      <c r="A179" s="27"/>
      <c r="B179" s="27"/>
      <c r="C179" s="40" t="s">
        <v>4</v>
      </c>
      <c r="D179" s="40" t="s">
        <v>5</v>
      </c>
      <c r="E179" s="4" t="s">
        <v>6</v>
      </c>
      <c r="F179" s="4" t="s">
        <v>7</v>
      </c>
    </row>
    <row r="180" spans="1:7" s="38" customFormat="1">
      <c r="A180" s="27"/>
      <c r="B180" s="27" t="s">
        <v>6</v>
      </c>
      <c r="C180" s="27" t="s">
        <v>29</v>
      </c>
      <c r="D180" s="27"/>
      <c r="E180" s="5">
        <v>3900</v>
      </c>
      <c r="F180" s="5"/>
    </row>
    <row r="181" spans="1:7" s="38" customFormat="1">
      <c r="A181" s="27"/>
      <c r="B181" s="27" t="s">
        <v>7</v>
      </c>
      <c r="C181" s="27" t="s">
        <v>30</v>
      </c>
      <c r="D181" s="27"/>
      <c r="E181" s="5"/>
      <c r="F181" s="5">
        <v>39</v>
      </c>
    </row>
    <row r="182" spans="1:7" s="38" customFormat="1">
      <c r="A182" s="27"/>
      <c r="B182" s="27" t="s">
        <v>7</v>
      </c>
      <c r="C182" s="27" t="s">
        <v>11</v>
      </c>
      <c r="D182" s="27"/>
      <c r="E182" s="5"/>
      <c r="F182" s="5">
        <f>E183-F181</f>
        <v>3861</v>
      </c>
    </row>
    <row r="183" spans="1:7" s="38" customFormat="1">
      <c r="A183" s="41"/>
      <c r="B183" s="41"/>
      <c r="C183" s="41"/>
      <c r="D183" s="41"/>
      <c r="E183" s="6">
        <f>SUM(E180:E182)</f>
        <v>3900</v>
      </c>
      <c r="F183" s="6">
        <f>SUM(F181:F182)</f>
        <v>3900</v>
      </c>
      <c r="G183" s="55">
        <f>E183-F183</f>
        <v>0</v>
      </c>
    </row>
    <row r="184" spans="1:7" s="38" customFormat="1" ht="14.4" customHeight="1">
      <c r="A184" s="43" t="s">
        <v>34</v>
      </c>
      <c r="B184" s="44"/>
      <c r="C184" s="44"/>
      <c r="D184" s="44"/>
      <c r="E184" s="44"/>
      <c r="F184" s="45"/>
    </row>
    <row r="185" spans="1:7" s="38" customFormat="1"/>
    <row r="186" spans="1:7" s="38" customFormat="1">
      <c r="A186" s="35" t="s">
        <v>0</v>
      </c>
      <c r="B186" s="36"/>
      <c r="C186" s="36"/>
      <c r="D186" s="36"/>
      <c r="E186" s="36"/>
      <c r="F186" s="37"/>
    </row>
    <row r="187" spans="1:7" s="38" customFormat="1">
      <c r="A187" s="27" t="s">
        <v>1</v>
      </c>
      <c r="B187" s="27"/>
      <c r="C187" s="39"/>
      <c r="D187" s="27" t="s">
        <v>2</v>
      </c>
      <c r="E187" s="2" t="str">
        <f>E178</f>
        <v>.2083-03-02</v>
      </c>
      <c r="F187" s="3"/>
    </row>
    <row r="188" spans="1:7" s="38" customFormat="1">
      <c r="A188" s="27"/>
      <c r="B188" s="27"/>
      <c r="C188" s="40" t="s">
        <v>4</v>
      </c>
      <c r="D188" s="40" t="s">
        <v>5</v>
      </c>
      <c r="E188" s="4" t="s">
        <v>6</v>
      </c>
      <c r="F188" s="4" t="s">
        <v>7</v>
      </c>
    </row>
    <row r="189" spans="1:7" s="38" customFormat="1">
      <c r="A189" s="27"/>
      <c r="B189" s="27" t="s">
        <v>6</v>
      </c>
      <c r="C189" s="27" t="s">
        <v>29</v>
      </c>
      <c r="D189" s="27"/>
      <c r="E189" s="5">
        <v>3300</v>
      </c>
      <c r="F189" s="5"/>
    </row>
    <row r="190" spans="1:7" s="38" customFormat="1">
      <c r="A190" s="27"/>
      <c r="B190" s="27" t="s">
        <v>7</v>
      </c>
      <c r="C190" s="27" t="s">
        <v>30</v>
      </c>
      <c r="D190" s="27"/>
      <c r="E190" s="5"/>
      <c r="F190" s="5">
        <v>33</v>
      </c>
    </row>
    <row r="191" spans="1:7" s="38" customFormat="1">
      <c r="A191" s="27"/>
      <c r="B191" s="27" t="s">
        <v>7</v>
      </c>
      <c r="C191" s="27" t="s">
        <v>11</v>
      </c>
      <c r="D191" s="27"/>
      <c r="E191" s="5"/>
      <c r="F191" s="5">
        <f>E192-F190</f>
        <v>3267</v>
      </c>
    </row>
    <row r="192" spans="1:7" s="38" customFormat="1">
      <c r="A192" s="41"/>
      <c r="B192" s="41"/>
      <c r="C192" s="41"/>
      <c r="D192" s="41"/>
      <c r="E192" s="6">
        <f>SUM(E189:E191)</f>
        <v>3300</v>
      </c>
      <c r="F192" s="6">
        <f>SUM(F190:F191)</f>
        <v>3300</v>
      </c>
      <c r="G192" s="55">
        <f>E192-F192</f>
        <v>0</v>
      </c>
    </row>
    <row r="193" spans="1:7" s="38" customFormat="1" ht="14.4" customHeight="1">
      <c r="A193" s="43" t="s">
        <v>35</v>
      </c>
      <c r="B193" s="44"/>
      <c r="C193" s="44"/>
      <c r="D193" s="44"/>
      <c r="E193" s="44"/>
      <c r="F193" s="45"/>
    </row>
    <row r="194" spans="1:7" s="38" customFormat="1"/>
    <row r="195" spans="1:7" s="38" customFormat="1">
      <c r="A195" s="35" t="s">
        <v>0</v>
      </c>
      <c r="B195" s="36"/>
      <c r="C195" s="36"/>
      <c r="D195" s="36"/>
      <c r="E195" s="36"/>
      <c r="F195" s="37"/>
    </row>
    <row r="196" spans="1:7" s="38" customFormat="1">
      <c r="A196" s="27" t="s">
        <v>1</v>
      </c>
      <c r="B196" s="27"/>
      <c r="C196" s="39"/>
      <c r="D196" s="27" t="s">
        <v>2</v>
      </c>
      <c r="E196" s="2" t="str">
        <f>E187</f>
        <v>.2083-03-02</v>
      </c>
      <c r="F196" s="3"/>
    </row>
    <row r="197" spans="1:7" s="38" customFormat="1">
      <c r="A197" s="27"/>
      <c r="B197" s="27"/>
      <c r="C197" s="40" t="s">
        <v>4</v>
      </c>
      <c r="D197" s="40" t="s">
        <v>5</v>
      </c>
      <c r="E197" s="4" t="s">
        <v>6</v>
      </c>
      <c r="F197" s="4" t="s">
        <v>7</v>
      </c>
    </row>
    <row r="198" spans="1:7" s="38" customFormat="1">
      <c r="A198" s="27"/>
      <c r="B198" s="27" t="s">
        <v>6</v>
      </c>
      <c r="C198" s="27" t="s">
        <v>29</v>
      </c>
      <c r="D198" s="27"/>
      <c r="E198" s="5">
        <v>3900</v>
      </c>
      <c r="F198" s="5"/>
    </row>
    <row r="199" spans="1:7" s="38" customFormat="1">
      <c r="A199" s="27"/>
      <c r="B199" s="27" t="s">
        <v>7</v>
      </c>
      <c r="C199" s="27" t="s">
        <v>30</v>
      </c>
      <c r="D199" s="27"/>
      <c r="E199" s="5"/>
      <c r="F199" s="5">
        <v>39</v>
      </c>
    </row>
    <row r="200" spans="1:7" s="38" customFormat="1">
      <c r="A200" s="27"/>
      <c r="B200" s="27" t="s">
        <v>7</v>
      </c>
      <c r="C200" s="27" t="s">
        <v>11</v>
      </c>
      <c r="D200" s="27"/>
      <c r="E200" s="5"/>
      <c r="F200" s="5">
        <f>E201-F199</f>
        <v>3861</v>
      </c>
    </row>
    <row r="201" spans="1:7" s="38" customFormat="1">
      <c r="A201" s="41"/>
      <c r="B201" s="41"/>
      <c r="C201" s="41"/>
      <c r="D201" s="41"/>
      <c r="E201" s="6">
        <f>SUM(E198:E200)</f>
        <v>3900</v>
      </c>
      <c r="F201" s="6">
        <f>SUM(F199:F200)</f>
        <v>3900</v>
      </c>
      <c r="G201" s="55">
        <f>F201-E201</f>
        <v>0</v>
      </c>
    </row>
    <row r="202" spans="1:7" s="38" customFormat="1" ht="14.4" customHeight="1">
      <c r="A202" s="43" t="s">
        <v>36</v>
      </c>
      <c r="B202" s="44"/>
      <c r="C202" s="44"/>
      <c r="D202" s="44"/>
      <c r="E202" s="44"/>
      <c r="F202" s="45"/>
    </row>
    <row r="203" spans="1:7" s="38" customFormat="1"/>
    <row r="204" spans="1:7" s="38" customFormat="1">
      <c r="A204" s="35" t="s">
        <v>0</v>
      </c>
      <c r="B204" s="36"/>
      <c r="C204" s="36"/>
      <c r="D204" s="36"/>
      <c r="E204" s="36"/>
      <c r="F204" s="37"/>
    </row>
    <row r="205" spans="1:7" s="38" customFormat="1">
      <c r="A205" s="27" t="s">
        <v>1</v>
      </c>
      <c r="B205" s="27"/>
      <c r="C205" s="39"/>
      <c r="D205" s="27" t="s">
        <v>2</v>
      </c>
      <c r="E205" s="2" t="str">
        <f>E196</f>
        <v>.2083-03-02</v>
      </c>
      <c r="F205" s="3"/>
    </row>
    <row r="206" spans="1:7" s="38" customFormat="1">
      <c r="A206" s="27"/>
      <c r="B206" s="27"/>
      <c r="C206" s="40" t="s">
        <v>4</v>
      </c>
      <c r="D206" s="40" t="s">
        <v>5</v>
      </c>
      <c r="E206" s="4" t="s">
        <v>6</v>
      </c>
      <c r="F206" s="4" t="s">
        <v>7</v>
      </c>
    </row>
    <row r="207" spans="1:7" s="38" customFormat="1">
      <c r="A207" s="27"/>
      <c r="B207" s="27" t="s">
        <v>6</v>
      </c>
      <c r="C207" s="27" t="s">
        <v>29</v>
      </c>
      <c r="D207" s="27"/>
      <c r="E207" s="5">
        <v>3900</v>
      </c>
      <c r="F207" s="5"/>
    </row>
    <row r="208" spans="1:7" s="38" customFormat="1">
      <c r="A208" s="27"/>
      <c r="B208" s="27" t="s">
        <v>7</v>
      </c>
      <c r="C208" s="27" t="s">
        <v>30</v>
      </c>
      <c r="D208" s="27"/>
      <c r="E208" s="5"/>
      <c r="F208" s="5">
        <v>39</v>
      </c>
    </row>
    <row r="209" spans="1:7" s="38" customFormat="1">
      <c r="A209" s="27"/>
      <c r="B209" s="27" t="s">
        <v>7</v>
      </c>
      <c r="C209" s="27" t="s">
        <v>11</v>
      </c>
      <c r="D209" s="27"/>
      <c r="E209" s="5"/>
      <c r="F209" s="5">
        <f>E210-F208</f>
        <v>3861</v>
      </c>
    </row>
    <row r="210" spans="1:7" s="38" customFormat="1">
      <c r="A210" s="41"/>
      <c r="B210" s="41"/>
      <c r="C210" s="41"/>
      <c r="D210" s="41"/>
      <c r="E210" s="6">
        <f>SUM(E207:E209)</f>
        <v>3900</v>
      </c>
      <c r="F210" s="6">
        <f>SUM(F208:F209)</f>
        <v>3900</v>
      </c>
      <c r="G210" s="55">
        <f>E210-F210</f>
        <v>0</v>
      </c>
    </row>
    <row r="211" spans="1:7" s="38" customFormat="1" ht="14.4" customHeight="1">
      <c r="A211" s="43" t="s">
        <v>37</v>
      </c>
      <c r="B211" s="44"/>
      <c r="C211" s="44"/>
      <c r="D211" s="44"/>
      <c r="E211" s="44"/>
      <c r="F211" s="45"/>
    </row>
    <row r="212" spans="1:7" s="38" customFormat="1"/>
    <row r="213" spans="1:7" s="38" customFormat="1">
      <c r="A213" s="35" t="s">
        <v>0</v>
      </c>
      <c r="B213" s="36"/>
      <c r="C213" s="36"/>
      <c r="D213" s="36"/>
      <c r="E213" s="36"/>
      <c r="F213" s="37"/>
    </row>
    <row r="214" spans="1:7" s="38" customFormat="1">
      <c r="A214" s="27" t="s">
        <v>1</v>
      </c>
      <c r="B214" s="27"/>
      <c r="C214" s="39"/>
      <c r="D214" s="27" t="s">
        <v>2</v>
      </c>
      <c r="E214" s="2" t="str">
        <f>E205</f>
        <v>.2083-03-02</v>
      </c>
      <c r="F214" s="3"/>
    </row>
    <row r="215" spans="1:7" s="38" customFormat="1">
      <c r="A215" s="27"/>
      <c r="B215" s="27"/>
      <c r="C215" s="40" t="s">
        <v>4</v>
      </c>
      <c r="D215" s="40" t="s">
        <v>5</v>
      </c>
      <c r="E215" s="4" t="s">
        <v>6</v>
      </c>
      <c r="F215" s="4" t="s">
        <v>7</v>
      </c>
    </row>
    <row r="216" spans="1:7" s="38" customFormat="1">
      <c r="A216" s="27"/>
      <c r="B216" s="27" t="s">
        <v>6</v>
      </c>
      <c r="C216" s="27" t="s">
        <v>29</v>
      </c>
      <c r="D216" s="27"/>
      <c r="E216" s="5">
        <v>5200</v>
      </c>
      <c r="F216" s="5"/>
    </row>
    <row r="217" spans="1:7" s="38" customFormat="1">
      <c r="A217" s="27"/>
      <c r="B217" s="27" t="s">
        <v>7</v>
      </c>
      <c r="C217" s="27" t="s">
        <v>30</v>
      </c>
      <c r="D217" s="27"/>
      <c r="E217" s="5"/>
      <c r="F217" s="5">
        <v>52</v>
      </c>
    </row>
    <row r="218" spans="1:7" s="38" customFormat="1">
      <c r="A218" s="27"/>
      <c r="B218" s="27" t="s">
        <v>7</v>
      </c>
      <c r="C218" s="27" t="s">
        <v>11</v>
      </c>
      <c r="D218" s="27"/>
      <c r="E218" s="5"/>
      <c r="F218" s="5">
        <f>E219-F217</f>
        <v>5148</v>
      </c>
    </row>
    <row r="219" spans="1:7" s="38" customFormat="1">
      <c r="A219" s="41"/>
      <c r="B219" s="41"/>
      <c r="C219" s="41"/>
      <c r="D219" s="41"/>
      <c r="E219" s="6">
        <f>SUM(E216:E218)</f>
        <v>5200</v>
      </c>
      <c r="F219" s="6">
        <f>SUM(F217:F218)</f>
        <v>5200</v>
      </c>
      <c r="G219" s="55">
        <f>F219-E219</f>
        <v>0</v>
      </c>
    </row>
    <row r="220" spans="1:7" s="38" customFormat="1" ht="14.4" customHeight="1">
      <c r="A220" s="43" t="s">
        <v>38</v>
      </c>
      <c r="B220" s="44"/>
      <c r="C220" s="44"/>
      <c r="D220" s="44"/>
      <c r="E220" s="44"/>
      <c r="F220" s="45"/>
    </row>
    <row r="221" spans="1:7" s="38" customFormat="1"/>
    <row r="222" spans="1:7" s="38" customFormat="1">
      <c r="A222" s="35" t="s">
        <v>0</v>
      </c>
      <c r="B222" s="36"/>
      <c r="C222" s="36"/>
      <c r="D222" s="36"/>
      <c r="E222" s="36"/>
      <c r="F222" s="37"/>
    </row>
    <row r="223" spans="1:7" s="38" customFormat="1">
      <c r="A223" s="27" t="s">
        <v>1</v>
      </c>
      <c r="B223" s="27"/>
      <c r="C223" s="39"/>
      <c r="D223" s="27" t="s">
        <v>2</v>
      </c>
      <c r="E223" s="2" t="str">
        <f>E214</f>
        <v>.2083-03-02</v>
      </c>
      <c r="F223" s="3"/>
    </row>
    <row r="224" spans="1:7" s="38" customFormat="1">
      <c r="A224" s="27"/>
      <c r="B224" s="27"/>
      <c r="C224" s="40" t="s">
        <v>4</v>
      </c>
      <c r="D224" s="40" t="s">
        <v>5</v>
      </c>
      <c r="E224" s="4" t="s">
        <v>6</v>
      </c>
      <c r="F224" s="4" t="s">
        <v>7</v>
      </c>
    </row>
    <row r="225" spans="1:8" s="38" customFormat="1">
      <c r="A225" s="27"/>
      <c r="B225" s="27" t="s">
        <v>6</v>
      </c>
      <c r="C225" s="27" t="s">
        <v>29</v>
      </c>
      <c r="D225" s="27"/>
      <c r="E225" s="5">
        <v>4800</v>
      </c>
      <c r="F225" s="5"/>
    </row>
    <row r="226" spans="1:8" s="38" customFormat="1">
      <c r="A226" s="27"/>
      <c r="B226" s="27" t="s">
        <v>7</v>
      </c>
      <c r="C226" s="27" t="s">
        <v>30</v>
      </c>
      <c r="D226" s="27"/>
      <c r="E226" s="5"/>
      <c r="F226" s="5">
        <v>48</v>
      </c>
    </row>
    <row r="227" spans="1:8" s="38" customFormat="1">
      <c r="A227" s="27"/>
      <c r="B227" s="27" t="s">
        <v>7</v>
      </c>
      <c r="C227" s="27" t="s">
        <v>11</v>
      </c>
      <c r="D227" s="27"/>
      <c r="E227" s="5"/>
      <c r="F227" s="5">
        <f>E228-F226</f>
        <v>4752</v>
      </c>
    </row>
    <row r="228" spans="1:8" s="38" customFormat="1">
      <c r="A228" s="41"/>
      <c r="B228" s="41"/>
      <c r="C228" s="41"/>
      <c r="D228" s="41"/>
      <c r="E228" s="6">
        <f>SUM(E225:E227)</f>
        <v>4800</v>
      </c>
      <c r="F228" s="6">
        <f>SUM(F226:F227)</f>
        <v>4800</v>
      </c>
      <c r="G228" s="55">
        <f>E228-F228</f>
        <v>0</v>
      </c>
    </row>
    <row r="229" spans="1:8" s="38" customFormat="1" ht="14.4" customHeight="1">
      <c r="A229" s="43" t="s">
        <v>39</v>
      </c>
      <c r="B229" s="44"/>
      <c r="C229" s="44"/>
      <c r="D229" s="44"/>
      <c r="E229" s="44"/>
      <c r="F229" s="45"/>
    </row>
    <row r="230" spans="1:8" s="38" customFormat="1" ht="14.4" customHeight="1">
      <c r="A230" s="46"/>
      <c r="B230" s="46"/>
      <c r="C230" s="46"/>
      <c r="D230" s="46"/>
      <c r="E230" s="46"/>
      <c r="F230" s="46"/>
    </row>
    <row r="231" spans="1:8">
      <c r="A231" s="47" t="s">
        <v>0</v>
      </c>
      <c r="B231" s="48"/>
      <c r="C231" s="48"/>
      <c r="D231" s="48"/>
      <c r="E231" s="48"/>
      <c r="F231" s="49"/>
      <c r="G231" s="7"/>
    </row>
    <row r="232" spans="1:8">
      <c r="A232" s="50" t="s">
        <v>1</v>
      </c>
      <c r="B232" s="50"/>
      <c r="C232" s="51"/>
      <c r="D232" s="50" t="s">
        <v>2</v>
      </c>
      <c r="E232" s="8" t="s">
        <v>28</v>
      </c>
      <c r="F232" s="9"/>
      <c r="G232" s="7"/>
    </row>
    <row r="233" spans="1:8">
      <c r="A233" s="50"/>
      <c r="B233" s="50"/>
      <c r="C233" s="52" t="s">
        <v>4</v>
      </c>
      <c r="D233" s="52" t="s">
        <v>5</v>
      </c>
      <c r="E233" s="10" t="s">
        <v>6</v>
      </c>
      <c r="F233" s="10" t="s">
        <v>7</v>
      </c>
      <c r="G233" s="7"/>
    </row>
    <row r="234" spans="1:8">
      <c r="A234" s="50"/>
      <c r="B234" s="50" t="s">
        <v>6</v>
      </c>
      <c r="C234" s="27" t="s">
        <v>18</v>
      </c>
      <c r="D234" s="50"/>
      <c r="E234" s="11">
        <v>1525.5</v>
      </c>
      <c r="F234" s="11"/>
      <c r="G234" s="7"/>
    </row>
    <row r="235" spans="1:8">
      <c r="A235" s="50"/>
      <c r="B235" s="50" t="s">
        <v>6</v>
      </c>
      <c r="C235" s="27" t="s">
        <v>19</v>
      </c>
      <c r="D235" s="50"/>
      <c r="E235" s="11">
        <v>3000</v>
      </c>
      <c r="F235" s="11"/>
      <c r="G235" s="7"/>
    </row>
    <row r="236" spans="1:8">
      <c r="A236" s="50"/>
      <c r="B236" s="50" t="s">
        <v>6</v>
      </c>
      <c r="C236" s="27" t="s">
        <v>20</v>
      </c>
      <c r="D236" s="50"/>
      <c r="E236" s="11">
        <v>3030</v>
      </c>
      <c r="F236" s="11"/>
      <c r="G236" s="7"/>
    </row>
    <row r="237" spans="1:8">
      <c r="A237" s="50"/>
      <c r="B237" s="50" t="s">
        <v>7</v>
      </c>
      <c r="C237" s="27" t="s">
        <v>21</v>
      </c>
      <c r="D237" s="50"/>
      <c r="E237" s="11"/>
      <c r="F237" s="11">
        <v>20.25</v>
      </c>
      <c r="G237" s="7"/>
    </row>
    <row r="238" spans="1:8">
      <c r="A238" s="50"/>
      <c r="B238" s="50" t="s">
        <v>7</v>
      </c>
      <c r="C238" s="27" t="s">
        <v>22</v>
      </c>
      <c r="D238" s="50"/>
      <c r="E238" s="11"/>
      <c r="F238" s="11">
        <v>345</v>
      </c>
      <c r="G238" s="7"/>
    </row>
    <row r="239" spans="1:8">
      <c r="A239" s="50"/>
      <c r="B239" s="50" t="s">
        <v>7</v>
      </c>
      <c r="C239" s="27" t="s">
        <v>23</v>
      </c>
      <c r="D239" s="50"/>
      <c r="E239" s="11"/>
      <c r="F239" s="11">
        <v>30</v>
      </c>
      <c r="G239" s="7"/>
    </row>
    <row r="240" spans="1:8">
      <c r="A240" s="50"/>
      <c r="B240" s="50" t="s">
        <v>7</v>
      </c>
      <c r="C240" s="27" t="s">
        <v>24</v>
      </c>
      <c r="D240" s="50"/>
      <c r="E240" s="11"/>
      <c r="F240" s="11">
        <v>1505.25</v>
      </c>
      <c r="G240" s="53">
        <f>F240/1.115</f>
        <v>1350</v>
      </c>
      <c r="H240" s="53"/>
    </row>
    <row r="241" spans="1:7">
      <c r="A241" s="50"/>
      <c r="B241" s="50" t="s">
        <v>25</v>
      </c>
      <c r="C241" s="27" t="s">
        <v>26</v>
      </c>
      <c r="D241" s="50"/>
      <c r="E241" s="11"/>
      <c r="F241" s="11">
        <v>5655</v>
      </c>
      <c r="G241" s="7"/>
    </row>
    <row r="242" spans="1:7">
      <c r="A242" s="54"/>
      <c r="B242" s="54"/>
      <c r="C242" s="54"/>
      <c r="D242" s="54"/>
      <c r="E242" s="12">
        <f>SUM(E234:E241)</f>
        <v>7555.5</v>
      </c>
      <c r="F242" s="12">
        <f>SUM(F234:F241)</f>
        <v>7555.5</v>
      </c>
      <c r="G242" s="7">
        <f>E242-F242</f>
        <v>0</v>
      </c>
    </row>
    <row r="243" spans="1:7">
      <c r="A243" s="43" t="s">
        <v>27</v>
      </c>
      <c r="B243" s="44"/>
      <c r="C243" s="44"/>
      <c r="D243" s="44"/>
      <c r="E243" s="44"/>
      <c r="F243" s="45"/>
      <c r="G243" s="7"/>
    </row>
    <row r="245" spans="1:7" s="38" customFormat="1">
      <c r="A245" s="35" t="s">
        <v>0</v>
      </c>
      <c r="B245" s="36"/>
      <c r="C245" s="36"/>
      <c r="D245" s="36"/>
      <c r="E245" s="36"/>
      <c r="F245" s="37"/>
    </row>
    <row r="246" spans="1:7" s="38" customFormat="1">
      <c r="A246" s="27" t="s">
        <v>1</v>
      </c>
      <c r="B246" s="27"/>
      <c r="C246" s="39"/>
      <c r="D246" s="27" t="s">
        <v>2</v>
      </c>
      <c r="E246" s="2" t="s">
        <v>40</v>
      </c>
      <c r="F246" s="3"/>
    </row>
    <row r="247" spans="1:7" s="38" customFormat="1">
      <c r="A247" s="27"/>
      <c r="B247" s="27"/>
      <c r="C247" s="40" t="s">
        <v>4</v>
      </c>
      <c r="D247" s="40" t="s">
        <v>5</v>
      </c>
      <c r="E247" s="4" t="s">
        <v>6</v>
      </c>
      <c r="F247" s="4" t="s">
        <v>7</v>
      </c>
    </row>
    <row r="248" spans="1:7" s="38" customFormat="1">
      <c r="A248" s="27"/>
      <c r="B248" s="27" t="s">
        <v>6</v>
      </c>
      <c r="C248" s="27" t="s">
        <v>41</v>
      </c>
      <c r="D248" s="27"/>
      <c r="E248" s="5">
        <v>40000</v>
      </c>
      <c r="F248" s="5"/>
    </row>
    <row r="249" spans="1:7" s="38" customFormat="1">
      <c r="A249" s="27"/>
      <c r="B249" s="27" t="s">
        <v>7</v>
      </c>
      <c r="C249" s="27" t="s">
        <v>11</v>
      </c>
      <c r="D249" s="27"/>
      <c r="E249" s="5"/>
      <c r="F249" s="5">
        <f>E250</f>
        <v>40000</v>
      </c>
    </row>
    <row r="250" spans="1:7" s="38" customFormat="1">
      <c r="A250" s="41"/>
      <c r="B250" s="41"/>
      <c r="C250" s="41"/>
      <c r="D250" s="41"/>
      <c r="E250" s="6">
        <f>SUM(E248:E249)</f>
        <v>40000</v>
      </c>
      <c r="F250" s="6">
        <f>SUM(F249:F249)</f>
        <v>40000</v>
      </c>
      <c r="G250" s="55">
        <f>E250-F250</f>
        <v>0</v>
      </c>
    </row>
    <row r="251" spans="1:7" s="38" customFormat="1" ht="14.4" customHeight="1">
      <c r="A251" s="43" t="s">
        <v>42</v>
      </c>
      <c r="B251" s="44"/>
      <c r="C251" s="44"/>
      <c r="D251" s="44"/>
      <c r="E251" s="44"/>
      <c r="F251" s="45"/>
    </row>
    <row r="253" spans="1:7" s="38" customFormat="1">
      <c r="A253" s="35" t="s">
        <v>0</v>
      </c>
      <c r="B253" s="36"/>
      <c r="C253" s="36"/>
      <c r="D253" s="36"/>
      <c r="E253" s="36"/>
      <c r="F253" s="37"/>
    </row>
    <row r="254" spans="1:7" s="38" customFormat="1">
      <c r="A254" s="27" t="s">
        <v>1</v>
      </c>
      <c r="B254" s="27"/>
      <c r="C254" s="39"/>
      <c r="D254" s="27" t="s">
        <v>2</v>
      </c>
      <c r="E254" s="2" t="s">
        <v>43</v>
      </c>
      <c r="F254" s="3"/>
    </row>
    <row r="255" spans="1:7" s="38" customFormat="1">
      <c r="A255" s="27"/>
      <c r="B255" s="27"/>
      <c r="C255" s="40" t="s">
        <v>4</v>
      </c>
      <c r="D255" s="40" t="s">
        <v>5</v>
      </c>
      <c r="E255" s="4" t="s">
        <v>6</v>
      </c>
      <c r="F255" s="4" t="s">
        <v>7</v>
      </c>
    </row>
    <row r="256" spans="1:7" s="38" customFormat="1">
      <c r="A256" s="27"/>
      <c r="B256" s="27" t="s">
        <v>6</v>
      </c>
      <c r="C256" s="27" t="s">
        <v>41</v>
      </c>
      <c r="D256" s="27"/>
      <c r="E256" s="5">
        <v>40000</v>
      </c>
      <c r="F256" s="5"/>
    </row>
    <row r="257" spans="1:7" s="38" customFormat="1">
      <c r="A257" s="27"/>
      <c r="B257" s="27" t="s">
        <v>7</v>
      </c>
      <c r="C257" s="27" t="s">
        <v>11</v>
      </c>
      <c r="D257" s="27"/>
      <c r="E257" s="5"/>
      <c r="F257" s="5">
        <f>E258</f>
        <v>40000</v>
      </c>
    </row>
    <row r="258" spans="1:7" s="38" customFormat="1">
      <c r="A258" s="41"/>
      <c r="B258" s="41"/>
      <c r="C258" s="41"/>
      <c r="D258" s="41"/>
      <c r="E258" s="6">
        <f>SUM(E256:E257)</f>
        <v>40000</v>
      </c>
      <c r="F258" s="6">
        <f>SUM(F257:F257)</f>
        <v>40000</v>
      </c>
      <c r="G258" s="55">
        <f>E258-F258</f>
        <v>0</v>
      </c>
    </row>
    <row r="259" spans="1:7" s="38" customFormat="1" ht="14.4" customHeight="1">
      <c r="A259" s="43" t="s">
        <v>44</v>
      </c>
      <c r="B259" s="44"/>
      <c r="C259" s="44"/>
      <c r="D259" s="44"/>
      <c r="E259" s="44"/>
      <c r="F259" s="45"/>
    </row>
    <row r="260" spans="1:7" s="38" customFormat="1" ht="14.4" customHeight="1">
      <c r="A260" s="46"/>
      <c r="B260" s="46"/>
      <c r="C260" s="46"/>
      <c r="D260" s="46"/>
      <c r="E260" s="46"/>
      <c r="F260" s="46"/>
    </row>
    <row r="261" spans="1:7">
      <c r="A261" s="47" t="s">
        <v>0</v>
      </c>
      <c r="B261" s="48"/>
      <c r="C261" s="48"/>
      <c r="D261" s="48"/>
      <c r="E261" s="48"/>
      <c r="F261" s="49"/>
      <c r="G261" s="7"/>
    </row>
    <row r="262" spans="1:7">
      <c r="A262" s="50" t="s">
        <v>1</v>
      </c>
      <c r="B262" s="50"/>
      <c r="C262" s="51"/>
      <c r="D262" s="50" t="s">
        <v>2</v>
      </c>
      <c r="E262" s="8" t="s">
        <v>40</v>
      </c>
      <c r="F262" s="9"/>
      <c r="G262" s="7"/>
    </row>
    <row r="263" spans="1:7">
      <c r="A263" s="50"/>
      <c r="B263" s="50"/>
      <c r="C263" s="52" t="s">
        <v>4</v>
      </c>
      <c r="D263" s="52" t="s">
        <v>5</v>
      </c>
      <c r="E263" s="10" t="s">
        <v>6</v>
      </c>
      <c r="F263" s="10" t="s">
        <v>7</v>
      </c>
      <c r="G263" s="7"/>
    </row>
    <row r="264" spans="1:7">
      <c r="A264" s="50"/>
      <c r="B264" s="50" t="s">
        <v>6</v>
      </c>
      <c r="C264" s="27" t="s">
        <v>45</v>
      </c>
      <c r="D264" s="50"/>
      <c r="E264" s="11">
        <v>21</v>
      </c>
      <c r="F264" s="11"/>
      <c r="G264" s="7"/>
    </row>
    <row r="265" spans="1:7">
      <c r="A265" s="50"/>
      <c r="B265" s="50" t="s">
        <v>6</v>
      </c>
      <c r="C265" s="27" t="s">
        <v>46</v>
      </c>
      <c r="D265" s="50"/>
      <c r="E265" s="11">
        <v>70</v>
      </c>
      <c r="F265" s="11"/>
      <c r="G265" s="7"/>
    </row>
    <row r="266" spans="1:7">
      <c r="A266" s="50"/>
      <c r="B266" s="50" t="s">
        <v>6</v>
      </c>
      <c r="C266" s="27" t="s">
        <v>47</v>
      </c>
      <c r="D266" s="50"/>
      <c r="E266" s="11">
        <v>2400</v>
      </c>
      <c r="F266" s="11"/>
      <c r="G266" s="7"/>
    </row>
    <row r="267" spans="1:7">
      <c r="A267" s="50"/>
      <c r="B267" s="50" t="s">
        <v>6</v>
      </c>
      <c r="C267" s="27" t="s">
        <v>14</v>
      </c>
      <c r="D267" s="50"/>
      <c r="E267" s="11">
        <v>56</v>
      </c>
      <c r="F267" s="11"/>
      <c r="G267" s="7"/>
    </row>
    <row r="268" spans="1:7">
      <c r="A268" s="50"/>
      <c r="B268" s="50" t="s">
        <v>6</v>
      </c>
      <c r="C268" s="27" t="s">
        <v>46</v>
      </c>
      <c r="D268" s="50"/>
      <c r="E268" s="11">
        <v>500</v>
      </c>
      <c r="F268" s="11"/>
      <c r="G268" s="7"/>
    </row>
    <row r="269" spans="1:7">
      <c r="A269" s="50"/>
      <c r="B269" s="50" t="s">
        <v>6</v>
      </c>
      <c r="C269" s="27" t="s">
        <v>46</v>
      </c>
      <c r="D269" s="50"/>
      <c r="E269" s="11">
        <v>500</v>
      </c>
      <c r="F269" s="11"/>
      <c r="G269" s="7"/>
    </row>
    <row r="270" spans="1:7">
      <c r="A270" s="50"/>
      <c r="B270" s="50" t="s">
        <v>6</v>
      </c>
      <c r="C270" s="27" t="s">
        <v>48</v>
      </c>
      <c r="D270" s="50"/>
      <c r="E270" s="11">
        <v>1795.15</v>
      </c>
      <c r="F270" s="11"/>
      <c r="G270" s="7"/>
    </row>
    <row r="271" spans="1:7">
      <c r="A271" s="50"/>
      <c r="B271" s="50" t="s">
        <v>6</v>
      </c>
      <c r="C271" s="27" t="s">
        <v>24</v>
      </c>
      <c r="D271" s="50"/>
      <c r="E271" s="11">
        <v>2508.75</v>
      </c>
      <c r="F271" s="11"/>
      <c r="G271" s="7"/>
    </row>
    <row r="272" spans="1:7">
      <c r="A272" s="50"/>
      <c r="B272" s="50" t="s">
        <v>6</v>
      </c>
      <c r="C272" s="27" t="s">
        <v>49</v>
      </c>
      <c r="D272" s="50"/>
      <c r="E272" s="11">
        <v>26793.45</v>
      </c>
      <c r="F272" s="11"/>
      <c r="G272" s="7"/>
    </row>
    <row r="273" spans="1:8">
      <c r="A273" s="50"/>
      <c r="B273" s="50" t="s">
        <v>6</v>
      </c>
      <c r="C273" s="27" t="s">
        <v>50</v>
      </c>
      <c r="D273" s="50"/>
      <c r="E273" s="11">
        <v>10704</v>
      </c>
      <c r="F273" s="11"/>
      <c r="G273" s="7"/>
    </row>
    <row r="274" spans="1:8">
      <c r="A274" s="50"/>
      <c r="B274" s="50" t="s">
        <v>25</v>
      </c>
      <c r="C274" s="27" t="s">
        <v>41</v>
      </c>
      <c r="D274" s="50"/>
      <c r="E274" s="11"/>
      <c r="F274" s="11">
        <f>E275</f>
        <v>45348.35</v>
      </c>
      <c r="G274" s="7"/>
    </row>
    <row r="275" spans="1:8">
      <c r="A275" s="54"/>
      <c r="B275" s="54"/>
      <c r="C275" s="54"/>
      <c r="D275" s="54"/>
      <c r="E275" s="12">
        <f>SUM(E264:E274)</f>
        <v>45348.35</v>
      </c>
      <c r="F275" s="12">
        <f>SUM(F264:F274)</f>
        <v>45348.35</v>
      </c>
      <c r="G275" s="7">
        <f>E275-F275</f>
        <v>0</v>
      </c>
    </row>
    <row r="276" spans="1:8">
      <c r="A276" s="43" t="s">
        <v>51</v>
      </c>
      <c r="B276" s="44"/>
      <c r="C276" s="44"/>
      <c r="D276" s="44"/>
      <c r="E276" s="44"/>
      <c r="F276" s="45"/>
      <c r="G276" s="7"/>
    </row>
    <row r="277" spans="1:8" s="38" customFormat="1" ht="14.4" customHeight="1">
      <c r="A277" s="46"/>
      <c r="B277" s="46"/>
      <c r="C277" s="46"/>
      <c r="D277" s="46"/>
      <c r="E277" s="46"/>
      <c r="F277" s="46"/>
    </row>
    <row r="278" spans="1:8">
      <c r="A278" s="47" t="s">
        <v>0</v>
      </c>
      <c r="B278" s="48"/>
      <c r="C278" s="48"/>
      <c r="D278" s="48"/>
      <c r="E278" s="48"/>
      <c r="F278" s="49"/>
      <c r="G278" s="7"/>
    </row>
    <row r="279" spans="1:8">
      <c r="A279" s="50" t="s">
        <v>1</v>
      </c>
      <c r="B279" s="50"/>
      <c r="C279" s="51"/>
      <c r="D279" s="50" t="s">
        <v>2</v>
      </c>
      <c r="E279" s="8" t="s">
        <v>40</v>
      </c>
      <c r="F279" s="9"/>
      <c r="G279" s="7"/>
    </row>
    <row r="280" spans="1:8">
      <c r="A280" s="50"/>
      <c r="B280" s="50"/>
      <c r="C280" s="52" t="s">
        <v>4</v>
      </c>
      <c r="D280" s="52" t="s">
        <v>5</v>
      </c>
      <c r="E280" s="10" t="s">
        <v>6</v>
      </c>
      <c r="F280" s="10" t="s">
        <v>7</v>
      </c>
      <c r="G280" s="7"/>
    </row>
    <row r="281" spans="1:8">
      <c r="A281" s="50"/>
      <c r="B281" s="50" t="s">
        <v>6</v>
      </c>
      <c r="C281" s="27" t="s">
        <v>18</v>
      </c>
      <c r="D281" s="50"/>
      <c r="E281" s="11">
        <v>1711.95</v>
      </c>
      <c r="F281" s="11"/>
      <c r="G281" s="7"/>
    </row>
    <row r="282" spans="1:8">
      <c r="A282" s="50"/>
      <c r="B282" s="50" t="s">
        <v>6</v>
      </c>
      <c r="C282" s="27" t="s">
        <v>19</v>
      </c>
      <c r="D282" s="50"/>
      <c r="E282" s="11">
        <v>6000</v>
      </c>
      <c r="F282" s="11"/>
      <c r="G282" s="7"/>
    </row>
    <row r="283" spans="1:8">
      <c r="A283" s="50"/>
      <c r="B283" s="50" t="s">
        <v>6</v>
      </c>
      <c r="C283" s="27" t="s">
        <v>20</v>
      </c>
      <c r="D283" s="50"/>
      <c r="E283" s="11">
        <v>5454</v>
      </c>
      <c r="F283" s="11"/>
      <c r="G283" s="7"/>
    </row>
    <row r="284" spans="1:8">
      <c r="A284" s="50"/>
      <c r="B284" s="50" t="s">
        <v>7</v>
      </c>
      <c r="C284" s="27" t="s">
        <v>21</v>
      </c>
      <c r="D284" s="50"/>
      <c r="E284" s="11"/>
      <c r="F284" s="11">
        <v>22.72</v>
      </c>
      <c r="G284" s="7"/>
    </row>
    <row r="285" spans="1:8">
      <c r="A285" s="50"/>
      <c r="B285" s="50" t="s">
        <v>7</v>
      </c>
      <c r="C285" s="27" t="s">
        <v>22</v>
      </c>
      <c r="D285" s="50"/>
      <c r="E285" s="11"/>
      <c r="F285" s="11">
        <v>690</v>
      </c>
      <c r="G285" s="7"/>
    </row>
    <row r="286" spans="1:8">
      <c r="A286" s="50"/>
      <c r="B286" s="50" t="s">
        <v>7</v>
      </c>
      <c r="C286" s="27" t="s">
        <v>23</v>
      </c>
      <c r="D286" s="50"/>
      <c r="E286" s="11"/>
      <c r="F286" s="11">
        <v>54</v>
      </c>
      <c r="G286" s="7"/>
    </row>
    <row r="287" spans="1:8">
      <c r="A287" s="50"/>
      <c r="B287" s="50" t="s">
        <v>7</v>
      </c>
      <c r="C287" s="27" t="s">
        <v>52</v>
      </c>
      <c r="D287" s="50"/>
      <c r="E287" s="11"/>
      <c r="F287" s="11">
        <v>685.73</v>
      </c>
      <c r="G287" s="53">
        <f>F287/1.115</f>
        <v>615.0044843049327</v>
      </c>
      <c r="H287" s="53"/>
    </row>
    <row r="288" spans="1:8">
      <c r="A288" s="50"/>
      <c r="B288" s="50" t="s">
        <v>7</v>
      </c>
      <c r="C288" s="27" t="s">
        <v>53</v>
      </c>
      <c r="D288" s="50"/>
      <c r="E288" s="11"/>
      <c r="F288" s="11">
        <v>557.5</v>
      </c>
      <c r="G288" s="53">
        <f t="shared" ref="G288:G289" si="0">F288/1.115</f>
        <v>500</v>
      </c>
      <c r="H288" s="53"/>
    </row>
    <row r="289" spans="1:8">
      <c r="A289" s="50"/>
      <c r="B289" s="50" t="s">
        <v>7</v>
      </c>
      <c r="C289" s="27" t="s">
        <v>50</v>
      </c>
      <c r="D289" s="50"/>
      <c r="E289" s="11"/>
      <c r="F289" s="11">
        <v>446</v>
      </c>
      <c r="G289" s="53">
        <f t="shared" si="0"/>
        <v>400</v>
      </c>
      <c r="H289" s="53"/>
    </row>
    <row r="290" spans="1:8">
      <c r="A290" s="50"/>
      <c r="B290" s="50" t="s">
        <v>25</v>
      </c>
      <c r="C290" s="27" t="s">
        <v>26</v>
      </c>
      <c r="D290" s="50"/>
      <c r="E290" s="11"/>
      <c r="F290" s="11">
        <v>10710</v>
      </c>
      <c r="G290" s="7"/>
    </row>
    <row r="291" spans="1:8">
      <c r="A291" s="54"/>
      <c r="B291" s="54"/>
      <c r="C291" s="54"/>
      <c r="D291" s="54"/>
      <c r="E291" s="12">
        <f>SUM(E281:E290)</f>
        <v>13165.95</v>
      </c>
      <c r="F291" s="12">
        <f>SUM(F281:F290)</f>
        <v>13165.95</v>
      </c>
      <c r="G291" s="7">
        <f>E291-F291</f>
        <v>0</v>
      </c>
    </row>
    <row r="292" spans="1:8">
      <c r="A292" s="43" t="s">
        <v>27</v>
      </c>
      <c r="B292" s="44"/>
      <c r="C292" s="44"/>
      <c r="D292" s="44"/>
      <c r="E292" s="44"/>
      <c r="F292" s="45"/>
      <c r="G292" s="7"/>
    </row>
    <row r="293" spans="1:8" s="38" customFormat="1" ht="14.4" customHeight="1">
      <c r="A293" s="46"/>
      <c r="B293" s="46"/>
      <c r="C293" s="46"/>
      <c r="D293" s="46"/>
      <c r="E293" s="46"/>
      <c r="F293" s="46"/>
    </row>
    <row r="294" spans="1:8">
      <c r="A294" s="47" t="s">
        <v>0</v>
      </c>
      <c r="B294" s="48"/>
      <c r="C294" s="48"/>
      <c r="D294" s="48"/>
      <c r="E294" s="48"/>
      <c r="F294" s="49"/>
      <c r="G294" s="7"/>
    </row>
    <row r="295" spans="1:8">
      <c r="A295" s="50" t="s">
        <v>1</v>
      </c>
      <c r="B295" s="50"/>
      <c r="C295" s="51"/>
      <c r="D295" s="50" t="s">
        <v>2</v>
      </c>
      <c r="E295" s="8" t="s">
        <v>43</v>
      </c>
      <c r="F295" s="9"/>
      <c r="G295" s="7"/>
    </row>
    <row r="296" spans="1:8">
      <c r="A296" s="50"/>
      <c r="B296" s="50"/>
      <c r="C296" s="52" t="s">
        <v>4</v>
      </c>
      <c r="D296" s="52" t="s">
        <v>5</v>
      </c>
      <c r="E296" s="10" t="s">
        <v>6</v>
      </c>
      <c r="F296" s="10" t="s">
        <v>7</v>
      </c>
      <c r="G296" s="7"/>
    </row>
    <row r="297" spans="1:8">
      <c r="A297" s="50"/>
      <c r="B297" s="50" t="s">
        <v>6</v>
      </c>
      <c r="C297" s="27" t="s">
        <v>45</v>
      </c>
      <c r="D297" s="50"/>
      <c r="E297" s="11">
        <v>18</v>
      </c>
      <c r="F297" s="11"/>
      <c r="G297" s="7" t="s">
        <v>54</v>
      </c>
    </row>
    <row r="298" spans="1:8">
      <c r="A298" s="50"/>
      <c r="B298" s="50" t="s">
        <v>6</v>
      </c>
      <c r="C298" s="27"/>
      <c r="D298" s="50"/>
      <c r="E298" s="11">
        <v>2000</v>
      </c>
      <c r="F298" s="11"/>
      <c r="G298" s="7"/>
    </row>
    <row r="299" spans="1:8">
      <c r="A299" s="50"/>
      <c r="B299" s="50" t="s">
        <v>6</v>
      </c>
      <c r="C299" s="27" t="s">
        <v>46</v>
      </c>
      <c r="D299" s="50"/>
      <c r="E299" s="11">
        <v>4810</v>
      </c>
      <c r="F299" s="11"/>
      <c r="G299" s="7" t="s">
        <v>55</v>
      </c>
    </row>
    <row r="300" spans="1:8">
      <c r="A300" s="50"/>
      <c r="B300" s="50" t="s">
        <v>6</v>
      </c>
      <c r="C300" s="27" t="s">
        <v>56</v>
      </c>
      <c r="D300" s="50"/>
      <c r="E300" s="11">
        <v>973.55</v>
      </c>
      <c r="F300" s="11"/>
      <c r="G300" s="7"/>
    </row>
    <row r="301" spans="1:8">
      <c r="A301" s="50"/>
      <c r="B301" s="50" t="s">
        <v>6</v>
      </c>
      <c r="C301" s="27" t="s">
        <v>53</v>
      </c>
      <c r="D301" s="50"/>
      <c r="E301" s="11">
        <v>7805</v>
      </c>
      <c r="F301" s="11"/>
      <c r="G301" s="7"/>
    </row>
    <row r="302" spans="1:8">
      <c r="A302" s="50"/>
      <c r="B302" s="50" t="s">
        <v>6</v>
      </c>
      <c r="C302" s="27" t="s">
        <v>57</v>
      </c>
      <c r="D302" s="50"/>
      <c r="E302" s="11">
        <v>5358.4</v>
      </c>
      <c r="F302" s="11"/>
      <c r="G302" s="7"/>
    </row>
    <row r="303" spans="1:8">
      <c r="A303" s="50"/>
      <c r="B303" s="50" t="s">
        <v>25</v>
      </c>
      <c r="C303" s="27" t="s">
        <v>41</v>
      </c>
      <c r="D303" s="50"/>
      <c r="E303" s="11"/>
      <c r="F303" s="11">
        <f>E304</f>
        <v>20964.949999999997</v>
      </c>
      <c r="G303" s="7"/>
    </row>
    <row r="304" spans="1:8">
      <c r="A304" s="54"/>
      <c r="B304" s="54"/>
      <c r="C304" s="54"/>
      <c r="D304" s="54"/>
      <c r="E304" s="12">
        <f>SUM(E297:E303)</f>
        <v>20964.949999999997</v>
      </c>
      <c r="F304" s="12">
        <f>SUM(F297:F303)</f>
        <v>20964.949999999997</v>
      </c>
      <c r="G304" s="7">
        <f>E304-F304</f>
        <v>0</v>
      </c>
    </row>
    <row r="305" spans="1:8">
      <c r="A305" s="43" t="s">
        <v>51</v>
      </c>
      <c r="B305" s="44"/>
      <c r="C305" s="44"/>
      <c r="D305" s="44"/>
      <c r="E305" s="44"/>
      <c r="F305" s="45"/>
      <c r="G305" s="7"/>
    </row>
    <row r="306" spans="1:8" s="38" customFormat="1" ht="14.4" customHeight="1">
      <c r="A306" s="46"/>
      <c r="B306" s="46"/>
      <c r="C306" s="46"/>
      <c r="D306" s="46"/>
      <c r="E306" s="46"/>
      <c r="F306" s="46"/>
    </row>
    <row r="307" spans="1:8">
      <c r="A307" s="47" t="s">
        <v>0</v>
      </c>
      <c r="B307" s="48"/>
      <c r="C307" s="48"/>
      <c r="D307" s="48"/>
      <c r="E307" s="48"/>
      <c r="F307" s="49"/>
      <c r="G307" s="7"/>
    </row>
    <row r="308" spans="1:8">
      <c r="A308" s="50" t="s">
        <v>1</v>
      </c>
      <c r="B308" s="50"/>
      <c r="C308" s="51"/>
      <c r="D308" s="50" t="s">
        <v>2</v>
      </c>
      <c r="E308" s="8" t="s">
        <v>43</v>
      </c>
      <c r="F308" s="9"/>
      <c r="G308" s="7"/>
    </row>
    <row r="309" spans="1:8">
      <c r="A309" s="50"/>
      <c r="B309" s="50"/>
      <c r="C309" s="52" t="s">
        <v>4</v>
      </c>
      <c r="D309" s="52" t="s">
        <v>5</v>
      </c>
      <c r="E309" s="10" t="s">
        <v>6</v>
      </c>
      <c r="F309" s="10" t="s">
        <v>7</v>
      </c>
      <c r="G309" s="7"/>
    </row>
    <row r="310" spans="1:8">
      <c r="A310" s="50"/>
      <c r="B310" s="50" t="s">
        <v>6</v>
      </c>
      <c r="C310" s="27" t="s">
        <v>18</v>
      </c>
      <c r="D310" s="50"/>
      <c r="E310" s="11">
        <v>1226.05</v>
      </c>
      <c r="F310" s="11"/>
      <c r="G310" s="7"/>
    </row>
    <row r="311" spans="1:8">
      <c r="A311" s="50"/>
      <c r="B311" s="50" t="s">
        <v>6</v>
      </c>
      <c r="C311" s="27" t="s">
        <v>19</v>
      </c>
      <c r="D311" s="50"/>
      <c r="E311" s="11">
        <v>8500</v>
      </c>
      <c r="F311" s="11"/>
      <c r="G311" s="7"/>
    </row>
    <row r="312" spans="1:8">
      <c r="A312" s="50"/>
      <c r="B312" s="50" t="s">
        <v>6</v>
      </c>
      <c r="C312" s="27" t="s">
        <v>20</v>
      </c>
      <c r="D312" s="50"/>
      <c r="E312" s="11">
        <v>10606</v>
      </c>
      <c r="F312" s="11"/>
      <c r="G312" s="7"/>
    </row>
    <row r="313" spans="1:8">
      <c r="A313" s="50"/>
      <c r="B313" s="50" t="s">
        <v>7</v>
      </c>
      <c r="C313" s="27" t="s">
        <v>21</v>
      </c>
      <c r="D313" s="50"/>
      <c r="E313" s="11"/>
      <c r="F313" s="11">
        <v>16.27</v>
      </c>
      <c r="G313" s="7"/>
    </row>
    <row r="314" spans="1:8">
      <c r="A314" s="50"/>
      <c r="B314" s="50" t="s">
        <v>7</v>
      </c>
      <c r="C314" s="27" t="s">
        <v>22</v>
      </c>
      <c r="D314" s="50"/>
      <c r="E314" s="11"/>
      <c r="F314" s="11">
        <v>978</v>
      </c>
      <c r="G314" s="7"/>
    </row>
    <row r="315" spans="1:8">
      <c r="A315" s="50"/>
      <c r="B315" s="50" t="s">
        <v>7</v>
      </c>
      <c r="C315" s="27" t="s">
        <v>23</v>
      </c>
      <c r="D315" s="50"/>
      <c r="E315" s="11"/>
      <c r="F315" s="11">
        <v>106</v>
      </c>
      <c r="G315" s="7"/>
    </row>
    <row r="316" spans="1:8">
      <c r="A316" s="50"/>
      <c r="B316" s="50" t="s">
        <v>7</v>
      </c>
      <c r="C316" s="27" t="s">
        <v>48</v>
      </c>
      <c r="D316" s="50"/>
      <c r="E316" s="11"/>
      <c r="F316" s="11">
        <v>579.79999999999995</v>
      </c>
      <c r="G316" s="53">
        <f>F316/1.115</f>
        <v>520</v>
      </c>
      <c r="H316" s="53"/>
    </row>
    <row r="317" spans="1:8">
      <c r="A317" s="50"/>
      <c r="B317" s="50" t="s">
        <v>7</v>
      </c>
      <c r="C317" s="27" t="s">
        <v>49</v>
      </c>
      <c r="D317" s="50"/>
      <c r="E317" s="11"/>
      <c r="F317" s="11">
        <v>351.23</v>
      </c>
      <c r="G317" s="53">
        <f t="shared" ref="G317:G318" si="1">F317/1.115</f>
        <v>315.00448430493276</v>
      </c>
      <c r="H317" s="53"/>
    </row>
    <row r="318" spans="1:8">
      <c r="A318" s="50"/>
      <c r="B318" s="50" t="s">
        <v>7</v>
      </c>
      <c r="C318" s="27" t="s">
        <v>53</v>
      </c>
      <c r="D318" s="50"/>
      <c r="E318" s="11"/>
      <c r="F318" s="11">
        <v>278.75</v>
      </c>
      <c r="G318" s="53">
        <f t="shared" si="1"/>
        <v>250</v>
      </c>
      <c r="H318" s="53"/>
    </row>
    <row r="319" spans="1:8">
      <c r="A319" s="50"/>
      <c r="B319" s="50" t="s">
        <v>25</v>
      </c>
      <c r="C319" s="27" t="s">
        <v>26</v>
      </c>
      <c r="D319" s="50"/>
      <c r="E319" s="11"/>
      <c r="F319" s="11">
        <v>18022</v>
      </c>
      <c r="G319" s="7"/>
    </row>
    <row r="320" spans="1:8">
      <c r="A320" s="54"/>
      <c r="B320" s="54"/>
      <c r="C320" s="54"/>
      <c r="D320" s="54"/>
      <c r="E320" s="12">
        <f>SUM(E310:E319)</f>
        <v>20332.05</v>
      </c>
      <c r="F320" s="12">
        <f>SUM(F310:F319)</f>
        <v>20332.05</v>
      </c>
      <c r="G320" s="7">
        <f>E320-F320</f>
        <v>0</v>
      </c>
    </row>
    <row r="321" spans="1:9">
      <c r="A321" s="43" t="s">
        <v>27</v>
      </c>
      <c r="B321" s="44"/>
      <c r="C321" s="44"/>
      <c r="D321" s="44"/>
      <c r="E321" s="44"/>
      <c r="F321" s="45"/>
      <c r="G321" s="7"/>
    </row>
    <row r="323" spans="1:9" ht="16.5" customHeight="1">
      <c r="A323" s="47" t="s">
        <v>0</v>
      </c>
      <c r="B323" s="48"/>
      <c r="C323" s="48"/>
      <c r="D323" s="48"/>
      <c r="E323" s="48"/>
      <c r="F323" s="49"/>
      <c r="G323" s="1"/>
    </row>
    <row r="324" spans="1:9" ht="16.5" customHeight="1">
      <c r="A324" s="50" t="s">
        <v>1</v>
      </c>
      <c r="B324" s="50"/>
      <c r="C324" s="51"/>
      <c r="D324" s="50" t="s">
        <v>2</v>
      </c>
      <c r="E324" s="8" t="s">
        <v>58</v>
      </c>
      <c r="F324" s="9"/>
      <c r="G324" s="1"/>
    </row>
    <row r="325" spans="1:9" ht="16.5" customHeight="1">
      <c r="A325" s="50"/>
      <c r="B325" s="50"/>
      <c r="C325" s="52" t="s">
        <v>4</v>
      </c>
      <c r="D325" s="52" t="s">
        <v>5</v>
      </c>
      <c r="E325" s="10" t="s">
        <v>6</v>
      </c>
      <c r="F325" s="10" t="s">
        <v>7</v>
      </c>
      <c r="G325" s="1"/>
    </row>
    <row r="326" spans="1:9" ht="16.5" customHeight="1">
      <c r="A326" s="50"/>
      <c r="B326" s="50" t="s">
        <v>6</v>
      </c>
      <c r="C326" s="27" t="s">
        <v>59</v>
      </c>
      <c r="D326" s="50"/>
      <c r="E326" s="11">
        <v>81864</v>
      </c>
      <c r="F326" s="11"/>
      <c r="G326" s="1"/>
    </row>
    <row r="327" spans="1:9" ht="16.5" customHeight="1">
      <c r="A327" s="50"/>
      <c r="B327" s="50" t="s">
        <v>7</v>
      </c>
      <c r="C327" s="27" t="s">
        <v>11</v>
      </c>
      <c r="D327" s="50"/>
      <c r="E327" s="11"/>
      <c r="F327" s="11">
        <f>E328</f>
        <v>81864</v>
      </c>
      <c r="G327" s="1"/>
    </row>
    <row r="328" spans="1:9" ht="16.5" customHeight="1">
      <c r="A328" s="54"/>
      <c r="B328" s="54"/>
      <c r="C328" s="54"/>
      <c r="D328" s="54"/>
      <c r="E328" s="12">
        <f>SUM(E326:E327)</f>
        <v>81864</v>
      </c>
      <c r="F328" s="12">
        <f>SUM(F326:F327)</f>
        <v>81864</v>
      </c>
      <c r="G328" s="1"/>
    </row>
    <row r="329" spans="1:9" ht="16.5" customHeight="1">
      <c r="A329" s="43" t="s">
        <v>60</v>
      </c>
      <c r="B329" s="44"/>
      <c r="C329" s="44"/>
      <c r="D329" s="44"/>
      <c r="E329" s="44"/>
      <c r="F329" s="45"/>
      <c r="G329" s="1"/>
    </row>
    <row r="330" spans="1:9" ht="16.5" customHeight="1">
      <c r="A330" s="56"/>
      <c r="B330" s="57"/>
      <c r="C330" s="57"/>
      <c r="D330" s="57"/>
      <c r="E330" s="57"/>
      <c r="F330" s="57"/>
      <c r="G330" s="1"/>
    </row>
    <row r="331" spans="1:9" ht="16.5" customHeight="1">
      <c r="A331" s="47" t="s">
        <v>0</v>
      </c>
      <c r="B331" s="48"/>
      <c r="C331" s="48"/>
      <c r="D331" s="48"/>
      <c r="E331" s="48"/>
      <c r="F331" s="49"/>
      <c r="G331" s="7"/>
    </row>
    <row r="332" spans="1:9" ht="16.5" customHeight="1">
      <c r="A332" s="50" t="s">
        <v>1</v>
      </c>
      <c r="B332" s="50"/>
      <c r="C332" s="51"/>
      <c r="D332" s="50" t="s">
        <v>2</v>
      </c>
      <c r="E332" s="8" t="str">
        <f>E324</f>
        <v>.2083-03-05</v>
      </c>
      <c r="F332" s="9"/>
      <c r="G332" s="7"/>
    </row>
    <row r="333" spans="1:9" ht="16.5" customHeight="1">
      <c r="A333" s="50"/>
      <c r="B333" s="50"/>
      <c r="C333" s="52" t="s">
        <v>4</v>
      </c>
      <c r="D333" s="52" t="s">
        <v>5</v>
      </c>
      <c r="E333" s="10" t="s">
        <v>6</v>
      </c>
      <c r="F333" s="10" t="s">
        <v>7</v>
      </c>
      <c r="G333" s="7"/>
    </row>
    <row r="334" spans="1:9" ht="16.5" customHeight="1">
      <c r="A334" s="50"/>
      <c r="B334" s="50" t="s">
        <v>6</v>
      </c>
      <c r="C334" s="50" t="s">
        <v>61</v>
      </c>
      <c r="D334" s="50"/>
      <c r="E334" s="11">
        <v>52812</v>
      </c>
      <c r="F334" s="11"/>
      <c r="G334" s="7"/>
    </row>
    <row r="335" spans="1:9" ht="16.5" customHeight="1">
      <c r="A335" s="50"/>
      <c r="B335" s="50" t="s">
        <v>6</v>
      </c>
      <c r="C335" s="50" t="s">
        <v>62</v>
      </c>
      <c r="D335" s="50"/>
      <c r="E335" s="11">
        <v>29052</v>
      </c>
      <c r="F335" s="11"/>
      <c r="G335" s="7"/>
    </row>
    <row r="336" spans="1:9" ht="16.5" customHeight="1">
      <c r="A336" s="50"/>
      <c r="B336" s="50" t="s">
        <v>7</v>
      </c>
      <c r="C336" s="50" t="s">
        <v>59</v>
      </c>
      <c r="D336" s="50"/>
      <c r="E336" s="11"/>
      <c r="F336" s="11">
        <f>E337</f>
        <v>81864</v>
      </c>
      <c r="G336" s="7"/>
      <c r="I336" s="18" t="s">
        <v>13</v>
      </c>
    </row>
    <row r="337" spans="1:7" ht="16.5" customHeight="1">
      <c r="A337" s="54"/>
      <c r="B337" s="54"/>
      <c r="C337" s="54"/>
      <c r="D337" s="54"/>
      <c r="E337" s="12">
        <f>SUM(E334:E336)</f>
        <v>81864</v>
      </c>
      <c r="F337" s="12">
        <f>SUM(F334:F336)</f>
        <v>81864</v>
      </c>
      <c r="G337" s="7"/>
    </row>
    <row r="338" spans="1:7" ht="33.75" customHeight="1">
      <c r="A338" s="43" t="s">
        <v>63</v>
      </c>
      <c r="B338" s="44"/>
      <c r="C338" s="44"/>
      <c r="D338" s="44"/>
      <c r="E338" s="44"/>
      <c r="F338" s="45"/>
      <c r="G338" s="7"/>
    </row>
    <row r="340" spans="1:7" ht="16.5" customHeight="1">
      <c r="A340" s="47" t="s">
        <v>0</v>
      </c>
      <c r="B340" s="48"/>
      <c r="C340" s="48"/>
      <c r="D340" s="48"/>
      <c r="E340" s="48"/>
      <c r="F340" s="49"/>
      <c r="G340" s="1"/>
    </row>
    <row r="341" spans="1:7" ht="16.5" customHeight="1">
      <c r="A341" s="50" t="s">
        <v>1</v>
      </c>
      <c r="B341" s="50"/>
      <c r="C341" s="51"/>
      <c r="D341" s="50" t="s">
        <v>2</v>
      </c>
      <c r="E341" s="8" t="s">
        <v>58</v>
      </c>
      <c r="F341" s="9"/>
      <c r="G341" s="1"/>
    </row>
    <row r="342" spans="1:7" ht="16.5" customHeight="1">
      <c r="A342" s="50"/>
      <c r="B342" s="50"/>
      <c r="C342" s="52" t="s">
        <v>4</v>
      </c>
      <c r="D342" s="52" t="s">
        <v>5</v>
      </c>
      <c r="E342" s="10" t="s">
        <v>6</v>
      </c>
      <c r="F342" s="10" t="s">
        <v>7</v>
      </c>
      <c r="G342" s="1"/>
    </row>
    <row r="343" spans="1:7" ht="16.5" customHeight="1">
      <c r="A343" s="50"/>
      <c r="B343" s="50" t="s">
        <v>6</v>
      </c>
      <c r="C343" s="27" t="s">
        <v>59</v>
      </c>
      <c r="D343" s="50"/>
      <c r="E343" s="11">
        <v>81864</v>
      </c>
      <c r="F343" s="11"/>
      <c r="G343" s="1"/>
    </row>
    <row r="344" spans="1:7" ht="16.5" customHeight="1">
      <c r="A344" s="50"/>
      <c r="B344" s="50" t="s">
        <v>7</v>
      </c>
      <c r="C344" s="27" t="s">
        <v>11</v>
      </c>
      <c r="D344" s="50"/>
      <c r="E344" s="11"/>
      <c r="F344" s="11">
        <f>E345</f>
        <v>81864</v>
      </c>
      <c r="G344" s="1"/>
    </row>
    <row r="345" spans="1:7" ht="16.5" customHeight="1">
      <c r="A345" s="54"/>
      <c r="B345" s="54"/>
      <c r="C345" s="54"/>
      <c r="D345" s="54"/>
      <c r="E345" s="12">
        <f>SUM(E343:E344)</f>
        <v>81864</v>
      </c>
      <c r="F345" s="12">
        <f>SUM(F343:F344)</f>
        <v>81864</v>
      </c>
      <c r="G345" s="1"/>
    </row>
    <row r="346" spans="1:7" ht="16.5" customHeight="1">
      <c r="A346" s="43" t="s">
        <v>60</v>
      </c>
      <c r="B346" s="44"/>
      <c r="C346" s="44"/>
      <c r="D346" s="44"/>
      <c r="E346" s="44"/>
      <c r="F346" s="45"/>
      <c r="G346" s="1"/>
    </row>
    <row r="347" spans="1:7" ht="16.5" customHeight="1">
      <c r="A347" s="46"/>
      <c r="B347" s="46"/>
      <c r="C347" s="46"/>
      <c r="D347" s="46"/>
      <c r="E347" s="46"/>
      <c r="F347" s="46"/>
      <c r="G347" s="1"/>
    </row>
    <row r="348" spans="1:7">
      <c r="A348" s="47" t="s">
        <v>0</v>
      </c>
      <c r="B348" s="48"/>
      <c r="C348" s="48"/>
      <c r="D348" s="48"/>
      <c r="E348" s="48"/>
      <c r="F348" s="49"/>
      <c r="G348" s="7"/>
    </row>
    <row r="349" spans="1:7">
      <c r="A349" s="50" t="s">
        <v>1</v>
      </c>
      <c r="B349" s="50"/>
      <c r="C349" s="51"/>
      <c r="D349" s="50" t="s">
        <v>2</v>
      </c>
      <c r="E349" s="8" t="s">
        <v>58</v>
      </c>
      <c r="F349" s="9"/>
      <c r="G349" s="7"/>
    </row>
    <row r="350" spans="1:7">
      <c r="A350" s="50"/>
      <c r="B350" s="50"/>
      <c r="C350" s="52" t="s">
        <v>4</v>
      </c>
      <c r="D350" s="52" t="s">
        <v>5</v>
      </c>
      <c r="E350" s="10" t="s">
        <v>6</v>
      </c>
      <c r="F350" s="10" t="s">
        <v>7</v>
      </c>
      <c r="G350" s="7"/>
    </row>
    <row r="351" spans="1:7">
      <c r="A351" s="50"/>
      <c r="B351" s="50" t="s">
        <v>6</v>
      </c>
      <c r="C351" s="27" t="s">
        <v>47</v>
      </c>
      <c r="D351" s="50"/>
      <c r="E351" s="11">
        <v>120</v>
      </c>
      <c r="F351" s="11"/>
      <c r="G351" s="7" t="s">
        <v>64</v>
      </c>
    </row>
    <row r="352" spans="1:7">
      <c r="A352" s="50"/>
      <c r="B352" s="50" t="s">
        <v>6</v>
      </c>
      <c r="C352" s="27" t="s">
        <v>65</v>
      </c>
      <c r="D352" s="50"/>
      <c r="E352" s="11">
        <v>450</v>
      </c>
      <c r="F352" s="11"/>
      <c r="G352" s="7" t="s">
        <v>66</v>
      </c>
    </row>
    <row r="353" spans="1:7">
      <c r="A353" s="50"/>
      <c r="B353" s="50" t="s">
        <v>6</v>
      </c>
      <c r="C353" s="27" t="s">
        <v>67</v>
      </c>
      <c r="D353" s="50"/>
      <c r="E353" s="11">
        <v>1200</v>
      </c>
      <c r="F353" s="11"/>
      <c r="G353" s="7" t="s">
        <v>68</v>
      </c>
    </row>
    <row r="354" spans="1:7">
      <c r="A354" s="50"/>
      <c r="B354" s="50" t="s">
        <v>6</v>
      </c>
      <c r="C354" s="27" t="s">
        <v>46</v>
      </c>
      <c r="D354" s="50"/>
      <c r="E354" s="11">
        <v>70</v>
      </c>
      <c r="F354" s="11"/>
      <c r="G354" s="7" t="s">
        <v>69</v>
      </c>
    </row>
    <row r="355" spans="1:7">
      <c r="A355" s="50"/>
      <c r="B355" s="50" t="s">
        <v>6</v>
      </c>
      <c r="C355" s="27" t="s">
        <v>47</v>
      </c>
      <c r="D355" s="50"/>
      <c r="E355" s="11">
        <v>320</v>
      </c>
      <c r="F355" s="11"/>
      <c r="G355" s="7" t="s">
        <v>64</v>
      </c>
    </row>
    <row r="356" spans="1:7">
      <c r="A356" s="50"/>
      <c r="B356" s="50" t="s">
        <v>6</v>
      </c>
      <c r="C356" s="27" t="s">
        <v>45</v>
      </c>
      <c r="D356" s="50"/>
      <c r="E356" s="11">
        <v>155</v>
      </c>
      <c r="F356" s="11"/>
      <c r="G356" s="7" t="s">
        <v>70</v>
      </c>
    </row>
    <row r="357" spans="1:7">
      <c r="A357" s="50"/>
      <c r="B357" s="50" t="s">
        <v>6</v>
      </c>
      <c r="C357" s="27" t="s">
        <v>71</v>
      </c>
      <c r="D357" s="50"/>
      <c r="E357" s="11">
        <v>4000</v>
      </c>
      <c r="F357" s="11"/>
      <c r="G357" s="7"/>
    </row>
    <row r="358" spans="1:7">
      <c r="A358" s="50"/>
      <c r="B358" s="50" t="s">
        <v>6</v>
      </c>
      <c r="C358" s="27" t="s">
        <v>47</v>
      </c>
      <c r="D358" s="50"/>
      <c r="E358" s="11">
        <v>4425</v>
      </c>
      <c r="F358" s="11"/>
      <c r="G358" s="7" t="s">
        <v>72</v>
      </c>
    </row>
    <row r="359" spans="1:7">
      <c r="A359" s="50"/>
      <c r="B359" s="50" t="s">
        <v>25</v>
      </c>
      <c r="C359" s="27" t="s">
        <v>41</v>
      </c>
      <c r="D359" s="50"/>
      <c r="E359" s="11"/>
      <c r="F359" s="11">
        <f>E360</f>
        <v>10740</v>
      </c>
      <c r="G359" s="7"/>
    </row>
    <row r="360" spans="1:7">
      <c r="A360" s="54"/>
      <c r="B360" s="54"/>
      <c r="C360" s="54"/>
      <c r="D360" s="54"/>
      <c r="E360" s="12">
        <f>SUM(E351:E359)</f>
        <v>10740</v>
      </c>
      <c r="F360" s="12">
        <f>SUM(F351:F359)</f>
        <v>10740</v>
      </c>
      <c r="G360" s="7">
        <f>E360-F360</f>
        <v>0</v>
      </c>
    </row>
    <row r="361" spans="1:7">
      <c r="A361" s="43" t="s">
        <v>51</v>
      </c>
      <c r="B361" s="44"/>
      <c r="C361" s="44"/>
      <c r="D361" s="44"/>
      <c r="E361" s="44"/>
      <c r="F361" s="45"/>
      <c r="G361" s="7"/>
    </row>
    <row r="362" spans="1:7" s="38" customFormat="1" ht="14.4" customHeight="1">
      <c r="A362" s="46"/>
      <c r="B362" s="46"/>
      <c r="C362" s="46"/>
      <c r="D362" s="46"/>
      <c r="E362" s="46"/>
      <c r="F362" s="46"/>
    </row>
    <row r="363" spans="1:7">
      <c r="A363" s="47" t="s">
        <v>0</v>
      </c>
      <c r="B363" s="48"/>
      <c r="C363" s="48"/>
      <c r="D363" s="48"/>
      <c r="E363" s="48"/>
      <c r="F363" s="49"/>
      <c r="G363" s="7"/>
    </row>
    <row r="364" spans="1:7">
      <c r="A364" s="50" t="s">
        <v>1</v>
      </c>
      <c r="B364" s="50"/>
      <c r="C364" s="51"/>
      <c r="D364" s="50" t="s">
        <v>2</v>
      </c>
      <c r="E364" s="8" t="s">
        <v>58</v>
      </c>
      <c r="F364" s="9"/>
      <c r="G364" s="7"/>
    </row>
    <row r="365" spans="1:7">
      <c r="A365" s="50"/>
      <c r="B365" s="50"/>
      <c r="C365" s="52" t="s">
        <v>4</v>
      </c>
      <c r="D365" s="52" t="s">
        <v>5</v>
      </c>
      <c r="E365" s="10" t="s">
        <v>6</v>
      </c>
      <c r="F365" s="10" t="s">
        <v>7</v>
      </c>
      <c r="G365" s="7"/>
    </row>
    <row r="366" spans="1:7">
      <c r="A366" s="50"/>
      <c r="B366" s="50" t="s">
        <v>6</v>
      </c>
      <c r="C366" s="27" t="s">
        <v>18</v>
      </c>
      <c r="D366" s="50"/>
      <c r="E366" s="11">
        <v>711.9</v>
      </c>
      <c r="F366" s="11"/>
      <c r="G366" s="7"/>
    </row>
    <row r="367" spans="1:7">
      <c r="A367" s="50"/>
      <c r="B367" s="50" t="s">
        <v>6</v>
      </c>
      <c r="C367" s="27" t="s">
        <v>19</v>
      </c>
      <c r="D367" s="50"/>
      <c r="E367" s="11">
        <v>6000</v>
      </c>
      <c r="F367" s="11"/>
      <c r="G367" s="7"/>
    </row>
    <row r="368" spans="1:7">
      <c r="A368" s="50"/>
      <c r="B368" s="50" t="s">
        <v>6</v>
      </c>
      <c r="C368" s="27" t="s">
        <v>20</v>
      </c>
      <c r="D368" s="50"/>
      <c r="E368" s="11">
        <v>6565</v>
      </c>
      <c r="F368" s="11"/>
      <c r="G368" s="7"/>
    </row>
    <row r="369" spans="1:8">
      <c r="A369" s="50"/>
      <c r="B369" s="50" t="s">
        <v>7</v>
      </c>
      <c r="C369" s="27" t="s">
        <v>21</v>
      </c>
      <c r="D369" s="50"/>
      <c r="E369" s="11"/>
      <c r="F369" s="11">
        <v>9.4499999999999993</v>
      </c>
      <c r="G369" s="7"/>
    </row>
    <row r="370" spans="1:8">
      <c r="A370" s="50"/>
      <c r="B370" s="50" t="s">
        <v>7</v>
      </c>
      <c r="C370" s="27" t="s">
        <v>22</v>
      </c>
      <c r="D370" s="50"/>
      <c r="E370" s="11"/>
      <c r="F370" s="11">
        <v>690</v>
      </c>
      <c r="G370" s="7"/>
    </row>
    <row r="371" spans="1:8">
      <c r="A371" s="50"/>
      <c r="B371" s="50" t="s">
        <v>7</v>
      </c>
      <c r="C371" s="27" t="s">
        <v>23</v>
      </c>
      <c r="D371" s="50"/>
      <c r="E371" s="11"/>
      <c r="F371" s="11">
        <v>65</v>
      </c>
      <c r="G371" s="7"/>
    </row>
    <row r="372" spans="1:8">
      <c r="A372" s="50"/>
      <c r="B372" s="50" t="s">
        <v>7</v>
      </c>
      <c r="C372" s="27" t="s">
        <v>49</v>
      </c>
      <c r="D372" s="50"/>
      <c r="E372" s="11"/>
      <c r="F372" s="11">
        <v>351.22</v>
      </c>
      <c r="G372" s="53">
        <f>F372/1.115</f>
        <v>314.9955156950673</v>
      </c>
      <c r="H372" s="53"/>
    </row>
    <row r="373" spans="1:8">
      <c r="A373" s="50"/>
      <c r="B373" s="50" t="s">
        <v>7</v>
      </c>
      <c r="C373" s="27" t="s">
        <v>73</v>
      </c>
      <c r="D373" s="50"/>
      <c r="E373" s="11"/>
      <c r="F373" s="11">
        <v>351.23</v>
      </c>
      <c r="G373" s="53">
        <f t="shared" ref="G373" si="2">F373/1.115</f>
        <v>315.00448430493276</v>
      </c>
      <c r="H373" s="53"/>
    </row>
    <row r="374" spans="1:8">
      <c r="A374" s="50"/>
      <c r="B374" s="50" t="s">
        <v>25</v>
      </c>
      <c r="C374" s="27" t="s">
        <v>26</v>
      </c>
      <c r="D374" s="50"/>
      <c r="E374" s="11"/>
      <c r="F374" s="11">
        <v>11810</v>
      </c>
      <c r="G374" s="7"/>
    </row>
    <row r="375" spans="1:8">
      <c r="A375" s="54"/>
      <c r="B375" s="54"/>
      <c r="C375" s="54"/>
      <c r="D375" s="54"/>
      <c r="E375" s="12">
        <f>SUM(E366:E374)</f>
        <v>13276.9</v>
      </c>
      <c r="F375" s="12">
        <f>SUM(F366:F374)</f>
        <v>13276.9</v>
      </c>
      <c r="G375" s="7">
        <f>E375-F375</f>
        <v>0</v>
      </c>
    </row>
    <row r="376" spans="1:8">
      <c r="A376" s="43" t="s">
        <v>27</v>
      </c>
      <c r="B376" s="44"/>
      <c r="C376" s="44"/>
      <c r="D376" s="44"/>
      <c r="E376" s="44"/>
      <c r="F376" s="45"/>
      <c r="G376" s="7"/>
    </row>
    <row r="378" spans="1:8" ht="16.5" customHeight="1">
      <c r="A378" s="47" t="s">
        <v>0</v>
      </c>
      <c r="B378" s="48"/>
      <c r="C378" s="48"/>
      <c r="D378" s="48"/>
      <c r="E378" s="48"/>
      <c r="F378" s="49"/>
      <c r="G378" s="1"/>
    </row>
    <row r="379" spans="1:8" ht="16.5" customHeight="1">
      <c r="A379" s="50" t="s">
        <v>1</v>
      </c>
      <c r="B379" s="50"/>
      <c r="C379" s="51"/>
      <c r="D379" s="50" t="s">
        <v>2</v>
      </c>
      <c r="E379" s="8" t="s">
        <v>74</v>
      </c>
      <c r="F379" s="9"/>
      <c r="G379" s="1"/>
    </row>
    <row r="380" spans="1:8" ht="16.5" customHeight="1">
      <c r="A380" s="50"/>
      <c r="B380" s="50"/>
      <c r="C380" s="52" t="s">
        <v>4</v>
      </c>
      <c r="D380" s="52" t="s">
        <v>5</v>
      </c>
      <c r="E380" s="10" t="s">
        <v>6</v>
      </c>
      <c r="F380" s="10" t="s">
        <v>7</v>
      </c>
      <c r="G380" s="1"/>
    </row>
    <row r="381" spans="1:8" ht="16.5" customHeight="1">
      <c r="A381" s="50"/>
      <c r="B381" s="50" t="s">
        <v>6</v>
      </c>
      <c r="C381" s="27" t="s">
        <v>75</v>
      </c>
      <c r="D381" s="50"/>
      <c r="E381" s="11">
        <v>150000</v>
      </c>
      <c r="F381" s="11"/>
      <c r="G381" s="1"/>
    </row>
    <row r="382" spans="1:8" ht="16.5" customHeight="1">
      <c r="A382" s="50"/>
      <c r="B382" s="50" t="s">
        <v>7</v>
      </c>
      <c r="C382" s="27" t="s">
        <v>11</v>
      </c>
      <c r="D382" s="50"/>
      <c r="E382" s="11"/>
      <c r="F382" s="11">
        <f>E383</f>
        <v>150000</v>
      </c>
      <c r="G382" s="1"/>
    </row>
    <row r="383" spans="1:8" ht="16.5" customHeight="1">
      <c r="A383" s="54"/>
      <c r="B383" s="54"/>
      <c r="C383" s="54"/>
      <c r="D383" s="54"/>
      <c r="E383" s="12">
        <f>SUM(E381:E382)</f>
        <v>150000</v>
      </c>
      <c r="F383" s="12">
        <f>SUM(F381:F382)</f>
        <v>150000</v>
      </c>
      <c r="G383" s="1"/>
    </row>
    <row r="384" spans="1:8" ht="16.5" customHeight="1">
      <c r="A384" s="43" t="s">
        <v>76</v>
      </c>
      <c r="B384" s="44"/>
      <c r="C384" s="44"/>
      <c r="D384" s="44"/>
      <c r="E384" s="44"/>
      <c r="F384" s="45"/>
      <c r="G384" s="1"/>
    </row>
    <row r="385" spans="1:7" ht="16.5" customHeight="1">
      <c r="A385" s="46"/>
      <c r="B385" s="46"/>
      <c r="C385" s="46"/>
      <c r="D385" s="46"/>
      <c r="E385" s="46"/>
      <c r="F385" s="46"/>
      <c r="G385" s="1"/>
    </row>
    <row r="386" spans="1:7">
      <c r="A386" s="47" t="s">
        <v>0</v>
      </c>
      <c r="B386" s="48"/>
      <c r="C386" s="48"/>
      <c r="D386" s="48"/>
      <c r="E386" s="48"/>
      <c r="F386" s="49"/>
      <c r="G386" s="13"/>
    </row>
    <row r="387" spans="1:7">
      <c r="A387" s="50" t="s">
        <v>1</v>
      </c>
      <c r="B387" s="50"/>
      <c r="C387" s="51"/>
      <c r="D387" s="50" t="s">
        <v>2</v>
      </c>
      <c r="E387" s="8" t="s">
        <v>40</v>
      </c>
      <c r="F387" s="9"/>
      <c r="G387" s="13"/>
    </row>
    <row r="388" spans="1:7">
      <c r="A388" s="50"/>
      <c r="B388" s="50"/>
      <c r="C388" s="52" t="s">
        <v>4</v>
      </c>
      <c r="D388" s="52" t="s">
        <v>5</v>
      </c>
      <c r="E388" s="10" t="s">
        <v>6</v>
      </c>
      <c r="F388" s="10" t="s">
        <v>7</v>
      </c>
      <c r="G388" s="13"/>
    </row>
    <row r="389" spans="1:7">
      <c r="A389" s="50"/>
      <c r="B389" s="50" t="s">
        <v>6</v>
      </c>
      <c r="C389" s="50" t="s">
        <v>77</v>
      </c>
      <c r="D389" s="50"/>
      <c r="E389" s="11">
        <v>1430000</v>
      </c>
      <c r="F389" s="11">
        <v>0</v>
      </c>
      <c r="G389" s="13"/>
    </row>
    <row r="390" spans="1:7">
      <c r="A390" s="50"/>
      <c r="B390" s="50" t="s">
        <v>7</v>
      </c>
      <c r="C390" s="27" t="s">
        <v>11</v>
      </c>
      <c r="D390" s="50"/>
      <c r="E390" s="11"/>
      <c r="F390" s="11">
        <f>E391</f>
        <v>1430000</v>
      </c>
      <c r="G390" s="13"/>
    </row>
    <row r="391" spans="1:7">
      <c r="A391" s="54"/>
      <c r="B391" s="54"/>
      <c r="C391" s="54"/>
      <c r="D391" s="54"/>
      <c r="E391" s="12">
        <f>SUM(E389:E390)</f>
        <v>1430000</v>
      </c>
      <c r="F391" s="12">
        <f>SUM(F389:F390)</f>
        <v>1430000</v>
      </c>
      <c r="G391" s="13"/>
    </row>
    <row r="392" spans="1:7">
      <c r="A392" s="43" t="s">
        <v>78</v>
      </c>
      <c r="B392" s="44"/>
      <c r="C392" s="44"/>
      <c r="D392" s="44"/>
      <c r="E392" s="44"/>
      <c r="F392" s="45"/>
      <c r="G392" s="13"/>
    </row>
    <row r="394" spans="1:7">
      <c r="A394" s="47" t="s">
        <v>0</v>
      </c>
      <c r="B394" s="48"/>
      <c r="C394" s="48"/>
      <c r="D394" s="48"/>
      <c r="E394" s="48"/>
      <c r="F394" s="49"/>
      <c r="G394" s="13"/>
    </row>
    <row r="395" spans="1:7">
      <c r="A395" s="50" t="s">
        <v>1</v>
      </c>
      <c r="B395" s="50"/>
      <c r="C395" s="51"/>
      <c r="D395" s="50" t="s">
        <v>2</v>
      </c>
      <c r="E395" s="8" t="s">
        <v>74</v>
      </c>
      <c r="F395" s="9"/>
      <c r="G395" s="13"/>
    </row>
    <row r="396" spans="1:7">
      <c r="A396" s="50"/>
      <c r="B396" s="50"/>
      <c r="C396" s="52" t="s">
        <v>4</v>
      </c>
      <c r="D396" s="52" t="s">
        <v>5</v>
      </c>
      <c r="E396" s="10" t="s">
        <v>6</v>
      </c>
      <c r="F396" s="10" t="s">
        <v>7</v>
      </c>
    </row>
    <row r="397" spans="1:7">
      <c r="A397" s="50"/>
      <c r="B397" s="50" t="s">
        <v>6</v>
      </c>
      <c r="C397" s="50" t="s">
        <v>79</v>
      </c>
      <c r="D397" s="50"/>
      <c r="E397" s="11">
        <v>28672303.100000001</v>
      </c>
      <c r="F397" s="11">
        <v>0</v>
      </c>
      <c r="G397" s="13" t="s">
        <v>80</v>
      </c>
    </row>
    <row r="398" spans="1:7">
      <c r="A398" s="50"/>
      <c r="B398" s="50" t="s">
        <v>7</v>
      </c>
      <c r="C398" s="50" t="s">
        <v>81</v>
      </c>
      <c r="D398" s="50"/>
      <c r="E398" s="11"/>
      <c r="F398" s="11">
        <f>E397</f>
        <v>28672303.100000001</v>
      </c>
      <c r="G398" s="13"/>
    </row>
    <row r="399" spans="1:7">
      <c r="A399" s="54"/>
      <c r="B399" s="54"/>
      <c r="C399" s="54"/>
      <c r="D399" s="54"/>
      <c r="E399" s="12">
        <f>SUM(E397:E398)</f>
        <v>28672303.100000001</v>
      </c>
      <c r="F399" s="12">
        <f>SUM(F397:F398)</f>
        <v>28672303.100000001</v>
      </c>
      <c r="G399" s="13"/>
    </row>
    <row r="400" spans="1:7" ht="45" customHeight="1">
      <c r="A400" s="43" t="s">
        <v>82</v>
      </c>
      <c r="B400" s="44"/>
      <c r="C400" s="44"/>
      <c r="D400" s="44"/>
      <c r="E400" s="44"/>
      <c r="F400" s="45"/>
      <c r="G400" s="13"/>
    </row>
    <row r="401" spans="1:10">
      <c r="E401" s="1"/>
      <c r="G401" s="13"/>
    </row>
    <row r="402" spans="1:10">
      <c r="A402" s="47" t="s">
        <v>0</v>
      </c>
      <c r="B402" s="48"/>
      <c r="C402" s="48"/>
      <c r="D402" s="48"/>
      <c r="E402" s="48"/>
      <c r="F402" s="49"/>
      <c r="G402" s="13"/>
    </row>
    <row r="403" spans="1:10">
      <c r="A403" s="50" t="s">
        <v>1</v>
      </c>
      <c r="B403" s="50"/>
      <c r="C403" s="51"/>
      <c r="D403" s="50" t="s">
        <v>2</v>
      </c>
      <c r="E403" s="8" t="str">
        <f>E395</f>
        <v>.2083-03-07</v>
      </c>
      <c r="F403" s="9"/>
      <c r="G403" s="13"/>
    </row>
    <row r="404" spans="1:10">
      <c r="A404" s="50"/>
      <c r="B404" s="50"/>
      <c r="C404" s="52" t="s">
        <v>4</v>
      </c>
      <c r="D404" s="52" t="s">
        <v>5</v>
      </c>
      <c r="E404" s="10" t="s">
        <v>13</v>
      </c>
      <c r="F404" s="10" t="s">
        <v>7</v>
      </c>
      <c r="G404" s="13"/>
    </row>
    <row r="405" spans="1:10">
      <c r="A405" s="50"/>
      <c r="B405" s="50" t="s">
        <v>6</v>
      </c>
      <c r="C405" s="50" t="s">
        <v>83</v>
      </c>
      <c r="D405" s="50"/>
      <c r="E405" s="11">
        <v>1437030</v>
      </c>
      <c r="F405" s="11"/>
      <c r="G405" s="13"/>
    </row>
    <row r="406" spans="1:10">
      <c r="A406" s="50"/>
      <c r="B406" s="50" t="s">
        <v>6</v>
      </c>
      <c r="C406" s="50" t="s">
        <v>84</v>
      </c>
      <c r="D406" s="50"/>
      <c r="E406" s="11">
        <v>967.21</v>
      </c>
      <c r="F406" s="11"/>
      <c r="G406" s="13"/>
    </row>
    <row r="407" spans="1:10">
      <c r="A407" s="50"/>
      <c r="B407" s="50" t="s">
        <v>7</v>
      </c>
      <c r="C407" s="50" t="s">
        <v>77</v>
      </c>
      <c r="D407" s="50"/>
      <c r="E407" s="11">
        <v>0</v>
      </c>
      <c r="F407" s="11">
        <v>1430000</v>
      </c>
      <c r="G407" s="13"/>
    </row>
    <row r="408" spans="1:10">
      <c r="A408" s="50"/>
      <c r="B408" s="50" t="s">
        <v>7</v>
      </c>
      <c r="C408" s="27" t="s">
        <v>11</v>
      </c>
      <c r="D408" s="50"/>
      <c r="E408" s="11"/>
      <c r="F408" s="11">
        <f>E409-F407</f>
        <v>7997.2099999999627</v>
      </c>
      <c r="G408" s="13"/>
    </row>
    <row r="409" spans="1:10">
      <c r="A409" s="54"/>
      <c r="B409" s="54"/>
      <c r="C409" s="54"/>
      <c r="D409" s="54"/>
      <c r="E409" s="12">
        <f>SUM(E405:E408)</f>
        <v>1437997.21</v>
      </c>
      <c r="F409" s="12">
        <f>SUM(F405:F408)</f>
        <v>1437997.21</v>
      </c>
      <c r="G409" s="13"/>
    </row>
    <row r="410" spans="1:10" ht="31.8" customHeight="1">
      <c r="A410" s="43" t="s">
        <v>85</v>
      </c>
      <c r="B410" s="44"/>
      <c r="C410" s="44"/>
      <c r="D410" s="44"/>
      <c r="E410" s="44"/>
      <c r="F410" s="45"/>
      <c r="G410" s="13"/>
    </row>
    <row r="411" spans="1:10">
      <c r="A411" s="46"/>
      <c r="B411" s="46"/>
      <c r="C411" s="46"/>
      <c r="D411" s="46"/>
      <c r="E411" s="14"/>
      <c r="F411" s="46"/>
      <c r="G411" s="13"/>
    </row>
    <row r="412" spans="1:10">
      <c r="A412" s="47" t="s">
        <v>0</v>
      </c>
      <c r="B412" s="48"/>
      <c r="C412" s="48"/>
      <c r="D412" s="48"/>
      <c r="E412" s="48"/>
      <c r="F412" s="49"/>
      <c r="G412" s="13"/>
    </row>
    <row r="413" spans="1:10">
      <c r="A413" s="50" t="s">
        <v>1</v>
      </c>
      <c r="B413" s="50"/>
      <c r="C413" s="51"/>
      <c r="D413" s="50" t="s">
        <v>2</v>
      </c>
      <c r="E413" s="8" t="str">
        <f>E403</f>
        <v>.2083-03-07</v>
      </c>
      <c r="F413" s="9"/>
      <c r="G413" s="13"/>
    </row>
    <row r="414" spans="1:10">
      <c r="A414" s="50"/>
      <c r="B414" s="50"/>
      <c r="C414" s="52" t="s">
        <v>4</v>
      </c>
      <c r="D414" s="52" t="s">
        <v>5</v>
      </c>
      <c r="E414" s="10" t="s">
        <v>6</v>
      </c>
      <c r="F414" s="10" t="s">
        <v>7</v>
      </c>
      <c r="G414" s="13"/>
    </row>
    <row r="415" spans="1:10">
      <c r="A415" s="50"/>
      <c r="B415" s="50" t="s">
        <v>6</v>
      </c>
      <c r="C415" s="27" t="s">
        <v>86</v>
      </c>
      <c r="D415" s="50"/>
      <c r="E415" s="11">
        <v>11550</v>
      </c>
      <c r="F415" s="11"/>
      <c r="G415" s="13" t="s">
        <v>87</v>
      </c>
    </row>
    <row r="416" spans="1:10">
      <c r="A416" s="50"/>
      <c r="B416" s="50" t="s">
        <v>6</v>
      </c>
      <c r="C416" s="27" t="s">
        <v>88</v>
      </c>
      <c r="D416" s="50"/>
      <c r="E416" s="11">
        <v>33333</v>
      </c>
      <c r="F416" s="11"/>
      <c r="G416" s="13" t="s">
        <v>89</v>
      </c>
      <c r="J416" s="58"/>
    </row>
    <row r="417" spans="1:10" ht="16.5" customHeight="1">
      <c r="A417" s="50"/>
      <c r="B417" s="50" t="s">
        <v>7</v>
      </c>
      <c r="C417" s="27" t="s">
        <v>90</v>
      </c>
      <c r="D417" s="50"/>
      <c r="E417" s="11"/>
      <c r="F417" s="11">
        <v>1329</v>
      </c>
      <c r="G417" s="13"/>
    </row>
    <row r="418" spans="1:10">
      <c r="A418" s="50"/>
      <c r="B418" s="50" t="s">
        <v>7</v>
      </c>
      <c r="C418" s="27" t="s">
        <v>91</v>
      </c>
      <c r="D418" s="50"/>
      <c r="E418" s="11"/>
      <c r="F418" s="11">
        <v>333</v>
      </c>
      <c r="G418" s="13"/>
    </row>
    <row r="419" spans="1:10">
      <c r="A419" s="50"/>
      <c r="B419" s="50" t="s">
        <v>25</v>
      </c>
      <c r="C419" s="27" t="s">
        <v>92</v>
      </c>
      <c r="D419" s="50"/>
      <c r="E419" s="11"/>
      <c r="F419" s="11">
        <f>E420-F417-F418</f>
        <v>43221</v>
      </c>
      <c r="G419" s="13"/>
    </row>
    <row r="420" spans="1:10">
      <c r="A420" s="54"/>
      <c r="B420" s="54"/>
      <c r="C420" s="54"/>
      <c r="D420" s="54"/>
      <c r="E420" s="12">
        <f>SUM(E415:E419)</f>
        <v>44883</v>
      </c>
      <c r="F420" s="12">
        <f>SUM(F415:F419)</f>
        <v>44883</v>
      </c>
      <c r="G420" s="13"/>
    </row>
    <row r="421" spans="1:10" ht="15" customHeight="1">
      <c r="A421" s="43" t="s">
        <v>27</v>
      </c>
      <c r="B421" s="44"/>
      <c r="C421" s="44"/>
      <c r="D421" s="44"/>
      <c r="E421" s="44"/>
      <c r="F421" s="45"/>
      <c r="G421" s="13"/>
    </row>
    <row r="422" spans="1:10">
      <c r="A422" s="46"/>
      <c r="B422" s="46"/>
      <c r="C422" s="46"/>
      <c r="D422" s="46"/>
      <c r="E422" s="14"/>
      <c r="F422" s="46"/>
      <c r="G422" s="13"/>
    </row>
    <row r="423" spans="1:10">
      <c r="A423" s="47" t="s">
        <v>0</v>
      </c>
      <c r="B423" s="48"/>
      <c r="C423" s="48"/>
      <c r="D423" s="48"/>
      <c r="E423" s="48"/>
      <c r="F423" s="49"/>
      <c r="G423" s="13"/>
    </row>
    <row r="424" spans="1:10">
      <c r="A424" s="50" t="s">
        <v>1</v>
      </c>
      <c r="B424" s="50"/>
      <c r="C424" s="51"/>
      <c r="D424" s="50" t="s">
        <v>2</v>
      </c>
      <c r="E424" s="8" t="str">
        <f>E413</f>
        <v>.2083-03-07</v>
      </c>
      <c r="F424" s="9"/>
      <c r="G424" s="13"/>
    </row>
    <row r="425" spans="1:10">
      <c r="A425" s="50"/>
      <c r="B425" s="50"/>
      <c r="C425" s="52" t="s">
        <v>4</v>
      </c>
      <c r="D425" s="52" t="s">
        <v>5</v>
      </c>
      <c r="E425" s="10" t="s">
        <v>6</v>
      </c>
      <c r="F425" s="10" t="s">
        <v>7</v>
      </c>
      <c r="G425" s="13"/>
    </row>
    <row r="426" spans="1:10">
      <c r="A426" s="50"/>
      <c r="B426" s="50" t="s">
        <v>6</v>
      </c>
      <c r="C426" s="27" t="s">
        <v>86</v>
      </c>
      <c r="D426" s="50"/>
      <c r="E426" s="11">
        <v>11830</v>
      </c>
      <c r="F426" s="11"/>
      <c r="G426" s="13" t="s">
        <v>93</v>
      </c>
    </row>
    <row r="427" spans="1:10">
      <c r="A427" s="50"/>
      <c r="B427" s="50" t="s">
        <v>6</v>
      </c>
      <c r="C427" s="27" t="s">
        <v>88</v>
      </c>
      <c r="D427" s="50"/>
      <c r="E427" s="11">
        <v>34141</v>
      </c>
      <c r="F427" s="11"/>
      <c r="G427" s="13" t="s">
        <v>94</v>
      </c>
      <c r="J427" s="58"/>
    </row>
    <row r="428" spans="1:10" ht="19.5" customHeight="1">
      <c r="A428" s="50"/>
      <c r="B428" s="50" t="s">
        <v>7</v>
      </c>
      <c r="C428" s="27" t="s">
        <v>90</v>
      </c>
      <c r="D428" s="50"/>
      <c r="E428" s="11"/>
      <c r="F428" s="11">
        <v>1361</v>
      </c>
      <c r="G428" s="13"/>
    </row>
    <row r="429" spans="1:10">
      <c r="A429" s="50"/>
      <c r="B429" s="50" t="s">
        <v>7</v>
      </c>
      <c r="C429" s="27" t="s">
        <v>91</v>
      </c>
      <c r="D429" s="50"/>
      <c r="E429" s="11"/>
      <c r="F429" s="11">
        <v>341</v>
      </c>
      <c r="G429" s="13"/>
    </row>
    <row r="430" spans="1:10">
      <c r="A430" s="50"/>
      <c r="B430" s="50" t="s">
        <v>25</v>
      </c>
      <c r="C430" s="27" t="s">
        <v>92</v>
      </c>
      <c r="D430" s="50"/>
      <c r="E430" s="11"/>
      <c r="F430" s="11">
        <f>E431-F428-F429</f>
        <v>44269</v>
      </c>
      <c r="G430" s="13"/>
    </row>
    <row r="431" spans="1:10">
      <c r="A431" s="54"/>
      <c r="B431" s="54"/>
      <c r="C431" s="54"/>
      <c r="D431" s="54"/>
      <c r="E431" s="12">
        <f>SUM(E426:E430)</f>
        <v>45971</v>
      </c>
      <c r="F431" s="12">
        <f>SUM(F426:F430)</f>
        <v>45971</v>
      </c>
      <c r="G431" s="13"/>
    </row>
    <row r="432" spans="1:10" ht="15" customHeight="1">
      <c r="A432" s="43" t="s">
        <v>27</v>
      </c>
      <c r="B432" s="44"/>
      <c r="C432" s="44"/>
      <c r="D432" s="44"/>
      <c r="E432" s="44"/>
      <c r="F432" s="45"/>
      <c r="G432" s="13"/>
    </row>
    <row r="433" spans="1:10">
      <c r="A433" s="46"/>
      <c r="B433" s="46"/>
      <c r="C433" s="46"/>
      <c r="D433" s="46"/>
      <c r="E433" s="46"/>
      <c r="F433" s="46"/>
      <c r="G433" s="13"/>
    </row>
    <row r="434" spans="1:10">
      <c r="A434" s="47" t="s">
        <v>0</v>
      </c>
      <c r="B434" s="48"/>
      <c r="C434" s="48"/>
      <c r="D434" s="48"/>
      <c r="E434" s="48"/>
      <c r="F434" s="49"/>
      <c r="G434" s="13"/>
    </row>
    <row r="435" spans="1:10">
      <c r="A435" s="50" t="s">
        <v>1</v>
      </c>
      <c r="B435" s="50"/>
      <c r="C435" s="51"/>
      <c r="D435" s="50" t="s">
        <v>2</v>
      </c>
      <c r="E435" s="8" t="str">
        <f>E424</f>
        <v>.2083-03-07</v>
      </c>
      <c r="F435" s="9"/>
      <c r="G435" s="13"/>
    </row>
    <row r="436" spans="1:10">
      <c r="A436" s="50"/>
      <c r="B436" s="50"/>
      <c r="C436" s="52" t="s">
        <v>4</v>
      </c>
      <c r="D436" s="52" t="s">
        <v>5</v>
      </c>
      <c r="E436" s="10" t="s">
        <v>6</v>
      </c>
      <c r="F436" s="10" t="s">
        <v>7</v>
      </c>
      <c r="G436" s="13"/>
    </row>
    <row r="437" spans="1:10">
      <c r="A437" s="50"/>
      <c r="B437" s="50" t="s">
        <v>6</v>
      </c>
      <c r="C437" s="27" t="s">
        <v>86</v>
      </c>
      <c r="D437" s="50"/>
      <c r="E437" s="11">
        <v>11480</v>
      </c>
      <c r="F437" s="11"/>
      <c r="G437" s="13" t="s">
        <v>95</v>
      </c>
    </row>
    <row r="438" spans="1:10">
      <c r="A438" s="50"/>
      <c r="B438" s="50" t="s">
        <v>6</v>
      </c>
      <c r="C438" s="27" t="s">
        <v>88</v>
      </c>
      <c r="D438" s="50"/>
      <c r="E438" s="11">
        <v>33131</v>
      </c>
      <c r="F438" s="11"/>
      <c r="G438" s="13" t="s">
        <v>96</v>
      </c>
      <c r="J438" s="58"/>
    </row>
    <row r="439" spans="1:10">
      <c r="A439" s="50"/>
      <c r="B439" s="50" t="s">
        <v>7</v>
      </c>
      <c r="C439" s="27" t="s">
        <v>90</v>
      </c>
      <c r="D439" s="50"/>
      <c r="E439" s="11"/>
      <c r="F439" s="11">
        <v>1321</v>
      </c>
      <c r="G439" s="13"/>
    </row>
    <row r="440" spans="1:10">
      <c r="A440" s="50"/>
      <c r="B440" s="50" t="s">
        <v>7</v>
      </c>
      <c r="C440" s="27" t="s">
        <v>91</v>
      </c>
      <c r="D440" s="50"/>
      <c r="E440" s="11"/>
      <c r="F440" s="11">
        <v>331</v>
      </c>
      <c r="G440" s="13"/>
    </row>
    <row r="441" spans="1:10">
      <c r="A441" s="50"/>
      <c r="B441" s="50" t="s">
        <v>25</v>
      </c>
      <c r="C441" s="27" t="s">
        <v>92</v>
      </c>
      <c r="D441" s="50"/>
      <c r="E441" s="11"/>
      <c r="F441" s="11">
        <f>E442-F439-F440</f>
        <v>42959</v>
      </c>
      <c r="G441" s="13"/>
    </row>
    <row r="442" spans="1:10">
      <c r="A442" s="54"/>
      <c r="B442" s="54"/>
      <c r="C442" s="54"/>
      <c r="D442" s="54"/>
      <c r="E442" s="12">
        <f>SUM(E437:E441)</f>
        <v>44611</v>
      </c>
      <c r="F442" s="12">
        <f>SUM(F437:F441)</f>
        <v>44611</v>
      </c>
      <c r="G442" s="13"/>
    </row>
    <row r="443" spans="1:10" ht="15" customHeight="1">
      <c r="A443" s="43" t="s">
        <v>27</v>
      </c>
      <c r="B443" s="44"/>
      <c r="C443" s="44"/>
      <c r="D443" s="44"/>
      <c r="E443" s="44"/>
      <c r="F443" s="45"/>
      <c r="G443" s="13"/>
    </row>
    <row r="444" spans="1:10">
      <c r="A444" s="46"/>
      <c r="B444" s="46"/>
      <c r="C444" s="46"/>
      <c r="D444" s="46"/>
      <c r="E444" s="46"/>
      <c r="F444" s="46"/>
      <c r="G444" s="13"/>
    </row>
    <row r="445" spans="1:10">
      <c r="A445" s="47" t="s">
        <v>0</v>
      </c>
      <c r="B445" s="48"/>
      <c r="C445" s="48"/>
      <c r="D445" s="48"/>
      <c r="E445" s="48"/>
      <c r="F445" s="49"/>
      <c r="G445" s="13"/>
    </row>
    <row r="446" spans="1:10">
      <c r="A446" s="50" t="s">
        <v>1</v>
      </c>
      <c r="B446" s="50"/>
      <c r="C446" s="51"/>
      <c r="D446" s="50" t="s">
        <v>2</v>
      </c>
      <c r="E446" s="8" t="str">
        <f>E435</f>
        <v>.2083-03-07</v>
      </c>
      <c r="F446" s="9"/>
      <c r="G446" s="13"/>
    </row>
    <row r="447" spans="1:10">
      <c r="A447" s="50"/>
      <c r="B447" s="50"/>
      <c r="C447" s="52" t="s">
        <v>4</v>
      </c>
      <c r="D447" s="52" t="s">
        <v>5</v>
      </c>
      <c r="E447" s="10" t="s">
        <v>6</v>
      </c>
      <c r="F447" s="10" t="s">
        <v>7</v>
      </c>
      <c r="G447" s="13"/>
    </row>
    <row r="448" spans="1:10">
      <c r="A448" s="50"/>
      <c r="B448" s="50" t="s">
        <v>6</v>
      </c>
      <c r="C448" s="27" t="s">
        <v>86</v>
      </c>
      <c r="D448" s="50"/>
      <c r="E448" s="11">
        <v>11760</v>
      </c>
      <c r="F448" s="11"/>
      <c r="G448" s="13" t="s">
        <v>97</v>
      </c>
    </row>
    <row r="449" spans="1:10">
      <c r="A449" s="50"/>
      <c r="B449" s="50" t="s">
        <v>6</v>
      </c>
      <c r="C449" s="27" t="s">
        <v>88</v>
      </c>
      <c r="D449" s="50"/>
      <c r="E449" s="11">
        <v>33939</v>
      </c>
      <c r="F449" s="11"/>
      <c r="G449" s="13" t="s">
        <v>98</v>
      </c>
      <c r="J449" s="58"/>
    </row>
    <row r="450" spans="1:10">
      <c r="A450" s="50"/>
      <c r="B450" s="50" t="s">
        <v>7</v>
      </c>
      <c r="C450" s="27" t="s">
        <v>90</v>
      </c>
      <c r="D450" s="50"/>
      <c r="E450" s="11"/>
      <c r="F450" s="11">
        <v>1353</v>
      </c>
      <c r="G450" s="13"/>
    </row>
    <row r="451" spans="1:10">
      <c r="A451" s="50"/>
      <c r="B451" s="50" t="s">
        <v>7</v>
      </c>
      <c r="C451" s="27" t="s">
        <v>91</v>
      </c>
      <c r="D451" s="50"/>
      <c r="E451" s="11"/>
      <c r="F451" s="11">
        <v>339</v>
      </c>
      <c r="G451" s="13"/>
    </row>
    <row r="452" spans="1:10">
      <c r="A452" s="50"/>
      <c r="B452" s="50" t="s">
        <v>25</v>
      </c>
      <c r="C452" s="27" t="s">
        <v>92</v>
      </c>
      <c r="D452" s="50"/>
      <c r="E452" s="11"/>
      <c r="F452" s="11">
        <f>E453-F450-F451</f>
        <v>44007</v>
      </c>
      <c r="G452" s="13"/>
    </row>
    <row r="453" spans="1:10">
      <c r="A453" s="54"/>
      <c r="B453" s="54"/>
      <c r="C453" s="54"/>
      <c r="D453" s="54"/>
      <c r="E453" s="12">
        <f>SUM(E448:E452)</f>
        <v>45699</v>
      </c>
      <c r="F453" s="12">
        <f>SUM(F448:F452)</f>
        <v>45699</v>
      </c>
      <c r="G453" s="13"/>
    </row>
    <row r="454" spans="1:10" ht="15" customHeight="1">
      <c r="A454" s="43" t="s">
        <v>27</v>
      </c>
      <c r="B454" s="44"/>
      <c r="C454" s="44"/>
      <c r="D454" s="44"/>
      <c r="E454" s="44"/>
      <c r="F454" s="45"/>
      <c r="G454" s="13"/>
    </row>
    <row r="455" spans="1:10">
      <c r="E455" s="1"/>
    </row>
    <row r="456" spans="1:10">
      <c r="A456" s="47" t="s">
        <v>0</v>
      </c>
      <c r="B456" s="48"/>
      <c r="C456" s="48"/>
      <c r="D456" s="48"/>
      <c r="E456" s="48"/>
      <c r="F456" s="49"/>
      <c r="G456" s="13"/>
    </row>
    <row r="457" spans="1:10">
      <c r="A457" s="50" t="s">
        <v>1</v>
      </c>
      <c r="B457" s="50"/>
      <c r="C457" s="51"/>
      <c r="D457" s="50" t="s">
        <v>2</v>
      </c>
      <c r="E457" s="8" t="str">
        <f>E446</f>
        <v>.2083-03-07</v>
      </c>
      <c r="F457" s="9"/>
      <c r="G457" s="13"/>
    </row>
    <row r="458" spans="1:10">
      <c r="A458" s="50"/>
      <c r="B458" s="50"/>
      <c r="C458" s="52" t="s">
        <v>4</v>
      </c>
      <c r="D458" s="52" t="s">
        <v>5</v>
      </c>
      <c r="E458" s="10" t="s">
        <v>6</v>
      </c>
      <c r="F458" s="10" t="s">
        <v>7</v>
      </c>
      <c r="G458" s="13"/>
    </row>
    <row r="459" spans="1:10">
      <c r="A459" s="50"/>
      <c r="B459" s="50" t="s">
        <v>6</v>
      </c>
      <c r="C459" s="27" t="s">
        <v>86</v>
      </c>
      <c r="D459" s="50"/>
      <c r="E459" s="11">
        <v>12040</v>
      </c>
      <c r="F459" s="11"/>
      <c r="G459" s="13" t="s">
        <v>99</v>
      </c>
    </row>
    <row r="460" spans="1:10">
      <c r="A460" s="50"/>
      <c r="B460" s="50" t="s">
        <v>6</v>
      </c>
      <c r="C460" s="27" t="s">
        <v>88</v>
      </c>
      <c r="D460" s="50"/>
      <c r="E460" s="11">
        <v>34747</v>
      </c>
      <c r="F460" s="11"/>
      <c r="G460" s="13" t="s">
        <v>100</v>
      </c>
      <c r="J460" s="58"/>
    </row>
    <row r="461" spans="1:10">
      <c r="A461" s="50"/>
      <c r="B461" s="50" t="s">
        <v>7</v>
      </c>
      <c r="C461" s="27" t="s">
        <v>90</v>
      </c>
      <c r="D461" s="50"/>
      <c r="E461" s="11"/>
      <c r="F461" s="11">
        <v>1385</v>
      </c>
      <c r="G461" s="13"/>
    </row>
    <row r="462" spans="1:10">
      <c r="A462" s="50"/>
      <c r="B462" s="50" t="s">
        <v>7</v>
      </c>
      <c r="C462" s="27" t="s">
        <v>91</v>
      </c>
      <c r="D462" s="50"/>
      <c r="E462" s="11"/>
      <c r="F462" s="11">
        <v>347</v>
      </c>
      <c r="G462" s="13"/>
    </row>
    <row r="463" spans="1:10">
      <c r="A463" s="50"/>
      <c r="B463" s="50" t="s">
        <v>25</v>
      </c>
      <c r="C463" s="27" t="s">
        <v>92</v>
      </c>
      <c r="D463" s="50"/>
      <c r="E463" s="11"/>
      <c r="F463" s="11">
        <f>E464-F461-F462</f>
        <v>45055</v>
      </c>
      <c r="G463" s="13"/>
    </row>
    <row r="464" spans="1:10">
      <c r="A464" s="54"/>
      <c r="B464" s="54"/>
      <c r="C464" s="54"/>
      <c r="D464" s="54"/>
      <c r="E464" s="12">
        <f>SUM(E459:E463)</f>
        <v>46787</v>
      </c>
      <c r="F464" s="12">
        <f>SUM(F459:F463)</f>
        <v>46787</v>
      </c>
      <c r="G464" s="13"/>
    </row>
    <row r="465" spans="1:7" ht="15" customHeight="1">
      <c r="A465" s="43" t="s">
        <v>27</v>
      </c>
      <c r="B465" s="44"/>
      <c r="C465" s="44"/>
      <c r="D465" s="44"/>
      <c r="E465" s="44"/>
      <c r="F465" s="45"/>
      <c r="G465" s="13"/>
    </row>
    <row r="466" spans="1:7" ht="15" customHeight="1">
      <c r="A466" s="46"/>
      <c r="B466" s="46"/>
      <c r="C466" s="46"/>
      <c r="D466" s="46"/>
      <c r="E466" s="46"/>
      <c r="F466" s="46"/>
      <c r="G466" s="13"/>
    </row>
    <row r="467" spans="1:7">
      <c r="A467" s="47" t="s">
        <v>0</v>
      </c>
      <c r="B467" s="48"/>
      <c r="C467" s="48"/>
      <c r="D467" s="48"/>
      <c r="E467" s="48"/>
      <c r="F467" s="49"/>
      <c r="G467" s="7"/>
    </row>
    <row r="468" spans="1:7">
      <c r="A468" s="50" t="s">
        <v>1</v>
      </c>
      <c r="B468" s="50"/>
      <c r="C468" s="51"/>
      <c r="D468" s="50" t="s">
        <v>2</v>
      </c>
      <c r="E468" s="8" t="s">
        <v>74</v>
      </c>
      <c r="F468" s="9"/>
      <c r="G468" s="7"/>
    </row>
    <row r="469" spans="1:7">
      <c r="A469" s="50"/>
      <c r="B469" s="50"/>
      <c r="C469" s="52" t="s">
        <v>4</v>
      </c>
      <c r="D469" s="52" t="s">
        <v>5</v>
      </c>
      <c r="E469" s="10" t="s">
        <v>6</v>
      </c>
      <c r="F469" s="10" t="s">
        <v>7</v>
      </c>
      <c r="G469" s="7"/>
    </row>
    <row r="470" spans="1:7">
      <c r="A470" s="50"/>
      <c r="B470" s="50" t="s">
        <v>6</v>
      </c>
      <c r="C470" s="27" t="s">
        <v>19</v>
      </c>
      <c r="D470" s="50"/>
      <c r="E470" s="11">
        <v>6000</v>
      </c>
      <c r="F470" s="11"/>
      <c r="G470" s="7"/>
    </row>
    <row r="471" spans="1:7">
      <c r="A471" s="50"/>
      <c r="B471" s="50" t="s">
        <v>6</v>
      </c>
      <c r="C471" s="27" t="s">
        <v>20</v>
      </c>
      <c r="D471" s="50"/>
      <c r="E471" s="11">
        <v>7373</v>
      </c>
      <c r="F471" s="11"/>
      <c r="G471" s="7"/>
    </row>
    <row r="472" spans="1:7">
      <c r="A472" s="50"/>
      <c r="B472" s="50" t="s">
        <v>7</v>
      </c>
      <c r="C472" s="27" t="s">
        <v>22</v>
      </c>
      <c r="D472" s="50"/>
      <c r="E472" s="11"/>
      <c r="F472" s="11">
        <v>690</v>
      </c>
      <c r="G472" s="7"/>
    </row>
    <row r="473" spans="1:7">
      <c r="A473" s="50"/>
      <c r="B473" s="50" t="s">
        <v>7</v>
      </c>
      <c r="C473" s="27" t="s">
        <v>23</v>
      </c>
      <c r="D473" s="50"/>
      <c r="E473" s="11"/>
      <c r="F473" s="11">
        <v>73</v>
      </c>
      <c r="G473" s="7"/>
    </row>
    <row r="474" spans="1:7">
      <c r="A474" s="50"/>
      <c r="B474" s="50" t="s">
        <v>25</v>
      </c>
      <c r="C474" s="27" t="s">
        <v>26</v>
      </c>
      <c r="D474" s="50"/>
      <c r="E474" s="11"/>
      <c r="F474" s="11">
        <v>12610</v>
      </c>
      <c r="G474" s="7"/>
    </row>
    <row r="475" spans="1:7">
      <c r="A475" s="54"/>
      <c r="B475" s="54"/>
      <c r="C475" s="54"/>
      <c r="D475" s="54"/>
      <c r="E475" s="12">
        <f>SUM(E470:E474)</f>
        <v>13373</v>
      </c>
      <c r="F475" s="12">
        <f>SUM(F470:F474)</f>
        <v>13373</v>
      </c>
      <c r="G475" s="7">
        <f>E475-F475</f>
        <v>0</v>
      </c>
    </row>
    <row r="476" spans="1:7">
      <c r="A476" s="43" t="s">
        <v>27</v>
      </c>
      <c r="B476" s="44"/>
      <c r="C476" s="44"/>
      <c r="D476" s="44"/>
      <c r="E476" s="44"/>
      <c r="F476" s="45"/>
      <c r="G476" s="7"/>
    </row>
    <row r="478" spans="1:7" ht="16.5" customHeight="1">
      <c r="A478" s="47" t="s">
        <v>0</v>
      </c>
      <c r="B478" s="48"/>
      <c r="C478" s="48"/>
      <c r="D478" s="48"/>
      <c r="E478" s="48"/>
      <c r="F478" s="49"/>
      <c r="G478" s="1"/>
    </row>
    <row r="479" spans="1:7" ht="16.5" customHeight="1">
      <c r="A479" s="50" t="s">
        <v>1</v>
      </c>
      <c r="B479" s="50"/>
      <c r="C479" s="51"/>
      <c r="D479" s="50" t="s">
        <v>2</v>
      </c>
      <c r="E479" s="8" t="s">
        <v>101</v>
      </c>
      <c r="F479" s="9"/>
      <c r="G479" s="1"/>
    </row>
    <row r="480" spans="1:7" ht="16.5" customHeight="1">
      <c r="A480" s="50"/>
      <c r="B480" s="50"/>
      <c r="C480" s="52" t="s">
        <v>4</v>
      </c>
      <c r="D480" s="52" t="s">
        <v>5</v>
      </c>
      <c r="E480" s="10" t="s">
        <v>6</v>
      </c>
      <c r="F480" s="10" t="s">
        <v>7</v>
      </c>
      <c r="G480" s="1"/>
    </row>
    <row r="481" spans="1:7" ht="16.5" customHeight="1">
      <c r="A481" s="50"/>
      <c r="B481" s="50" t="s">
        <v>6</v>
      </c>
      <c r="C481" s="27" t="s">
        <v>41</v>
      </c>
      <c r="D481" s="50"/>
      <c r="E481" s="11">
        <v>40000</v>
      </c>
      <c r="F481" s="11"/>
      <c r="G481" s="1"/>
    </row>
    <row r="482" spans="1:7" ht="16.5" customHeight="1">
      <c r="A482" s="50"/>
      <c r="B482" s="50" t="s">
        <v>7</v>
      </c>
      <c r="C482" s="27" t="s">
        <v>11</v>
      </c>
      <c r="D482" s="50"/>
      <c r="E482" s="11"/>
      <c r="F482" s="11">
        <f>E483</f>
        <v>40000</v>
      </c>
      <c r="G482" s="1"/>
    </row>
    <row r="483" spans="1:7" ht="16.5" customHeight="1">
      <c r="A483" s="54"/>
      <c r="B483" s="54"/>
      <c r="C483" s="54"/>
      <c r="D483" s="54"/>
      <c r="E483" s="12">
        <f>SUM(E481:E482)</f>
        <v>40000</v>
      </c>
      <c r="F483" s="12">
        <f>SUM(F481:F482)</f>
        <v>40000</v>
      </c>
      <c r="G483" s="1"/>
    </row>
    <row r="484" spans="1:7" ht="16.5" customHeight="1">
      <c r="A484" s="43" t="s">
        <v>102</v>
      </c>
      <c r="B484" s="44"/>
      <c r="C484" s="44"/>
      <c r="D484" s="44"/>
      <c r="E484" s="44"/>
      <c r="F484" s="45"/>
      <c r="G484" s="1"/>
    </row>
    <row r="486" spans="1:7" ht="16.5" customHeight="1">
      <c r="A486" s="47" t="s">
        <v>0</v>
      </c>
      <c r="B486" s="48"/>
      <c r="C486" s="48"/>
      <c r="D486" s="48"/>
      <c r="E486" s="48"/>
      <c r="F486" s="49"/>
      <c r="G486" s="1"/>
    </row>
    <row r="487" spans="1:7" ht="16.5" customHeight="1">
      <c r="A487" s="50" t="s">
        <v>1</v>
      </c>
      <c r="B487" s="50"/>
      <c r="C487" s="51"/>
      <c r="D487" s="50" t="s">
        <v>2</v>
      </c>
      <c r="E487" s="8" t="s">
        <v>101</v>
      </c>
      <c r="F487" s="9"/>
      <c r="G487" s="1"/>
    </row>
    <row r="488" spans="1:7" ht="16.5" customHeight="1">
      <c r="A488" s="50"/>
      <c r="B488" s="50"/>
      <c r="C488" s="52" t="s">
        <v>4</v>
      </c>
      <c r="D488" s="52" t="s">
        <v>5</v>
      </c>
      <c r="E488" s="10" t="s">
        <v>6</v>
      </c>
      <c r="F488" s="10" t="s">
        <v>7</v>
      </c>
      <c r="G488" s="1"/>
    </row>
    <row r="489" spans="1:7" ht="16.5" customHeight="1">
      <c r="A489" s="50"/>
      <c r="B489" s="50" t="s">
        <v>6</v>
      </c>
      <c r="C489" s="27" t="s">
        <v>45</v>
      </c>
      <c r="D489" s="50"/>
      <c r="E489" s="11">
        <v>30000</v>
      </c>
      <c r="F489" s="11"/>
      <c r="G489" s="1"/>
    </row>
    <row r="490" spans="1:7" ht="16.5" customHeight="1">
      <c r="A490" s="50"/>
      <c r="B490" s="50" t="s">
        <v>7</v>
      </c>
      <c r="C490" s="27" t="s">
        <v>11</v>
      </c>
      <c r="D490" s="50"/>
      <c r="E490" s="11"/>
      <c r="F490" s="11">
        <f>E491</f>
        <v>30000</v>
      </c>
      <c r="G490" s="1"/>
    </row>
    <row r="491" spans="1:7" ht="16.5" customHeight="1">
      <c r="A491" s="54"/>
      <c r="B491" s="54"/>
      <c r="C491" s="54"/>
      <c r="D491" s="54"/>
      <c r="E491" s="12">
        <f>SUM(E489:E490)</f>
        <v>30000</v>
      </c>
      <c r="F491" s="12">
        <f>SUM(F489:F490)</f>
        <v>30000</v>
      </c>
      <c r="G491" s="1">
        <f>E491-F491</f>
        <v>0</v>
      </c>
    </row>
    <row r="492" spans="1:7" ht="16.5" customHeight="1">
      <c r="A492" s="43" t="s">
        <v>103</v>
      </c>
      <c r="B492" s="44"/>
      <c r="C492" s="44"/>
      <c r="D492" s="44"/>
      <c r="E492" s="44"/>
      <c r="F492" s="45"/>
      <c r="G492" s="1"/>
    </row>
    <row r="494" spans="1:7" ht="16.5" customHeight="1">
      <c r="A494" s="47" t="s">
        <v>0</v>
      </c>
      <c r="B494" s="48"/>
      <c r="C494" s="48"/>
      <c r="D494" s="48"/>
      <c r="E494" s="48"/>
      <c r="F494" s="49"/>
      <c r="G494" s="1"/>
    </row>
    <row r="495" spans="1:7" ht="16.5" customHeight="1">
      <c r="A495" s="50" t="s">
        <v>1</v>
      </c>
      <c r="B495" s="50"/>
      <c r="C495" s="51"/>
      <c r="D495" s="50" t="s">
        <v>2</v>
      </c>
      <c r="E495" s="8" t="s">
        <v>101</v>
      </c>
      <c r="F495" s="9"/>
      <c r="G495" s="1"/>
    </row>
    <row r="496" spans="1:7" ht="16.5" customHeight="1">
      <c r="A496" s="50"/>
      <c r="B496" s="50"/>
      <c r="C496" s="52" t="s">
        <v>4</v>
      </c>
      <c r="D496" s="52" t="s">
        <v>5</v>
      </c>
      <c r="E496" s="10" t="s">
        <v>6</v>
      </c>
      <c r="F496" s="10" t="s">
        <v>7</v>
      </c>
      <c r="G496" s="1"/>
    </row>
    <row r="497" spans="1:7" ht="16.5" customHeight="1">
      <c r="A497" s="50"/>
      <c r="B497" s="50" t="s">
        <v>6</v>
      </c>
      <c r="C497" s="27" t="s">
        <v>75</v>
      </c>
      <c r="D497" s="50"/>
      <c r="E497" s="11">
        <v>70000</v>
      </c>
      <c r="F497" s="11"/>
      <c r="G497" s="1"/>
    </row>
    <row r="498" spans="1:7" ht="16.5" customHeight="1">
      <c r="A498" s="50"/>
      <c r="B498" s="50" t="s">
        <v>7</v>
      </c>
      <c r="C498" s="27" t="s">
        <v>11</v>
      </c>
      <c r="D498" s="50"/>
      <c r="E498" s="11"/>
      <c r="F498" s="11">
        <f>E499</f>
        <v>70000</v>
      </c>
      <c r="G498" s="1"/>
    </row>
    <row r="499" spans="1:7" ht="16.5" customHeight="1">
      <c r="A499" s="54"/>
      <c r="B499" s="54"/>
      <c r="C499" s="54"/>
      <c r="D499" s="54"/>
      <c r="E499" s="12">
        <f>SUM(E497:E498)</f>
        <v>70000</v>
      </c>
      <c r="F499" s="12">
        <f>SUM(F497:F498)</f>
        <v>70000</v>
      </c>
      <c r="G499" s="1">
        <f>E499-F499</f>
        <v>0</v>
      </c>
    </row>
    <row r="500" spans="1:7" ht="16.5" customHeight="1">
      <c r="A500" s="43" t="s">
        <v>104</v>
      </c>
      <c r="B500" s="44"/>
      <c r="C500" s="44"/>
      <c r="D500" s="44"/>
      <c r="E500" s="44"/>
      <c r="F500" s="45"/>
      <c r="G500" s="1"/>
    </row>
    <row r="502" spans="1:7" ht="16.5" customHeight="1">
      <c r="A502" s="47" t="s">
        <v>0</v>
      </c>
      <c r="B502" s="48"/>
      <c r="C502" s="48"/>
      <c r="D502" s="48"/>
      <c r="E502" s="48"/>
      <c r="F502" s="49"/>
      <c r="G502" s="1"/>
    </row>
    <row r="503" spans="1:7" ht="16.5" customHeight="1">
      <c r="A503" s="50" t="s">
        <v>1</v>
      </c>
      <c r="B503" s="50"/>
      <c r="C503" s="51"/>
      <c r="D503" s="50" t="s">
        <v>2</v>
      </c>
      <c r="E503" s="8" t="s">
        <v>101</v>
      </c>
      <c r="F503" s="9"/>
      <c r="G503" s="1"/>
    </row>
    <row r="504" spans="1:7" ht="16.5" customHeight="1">
      <c r="A504" s="50"/>
      <c r="B504" s="50"/>
      <c r="C504" s="52" t="s">
        <v>4</v>
      </c>
      <c r="D504" s="52" t="s">
        <v>5</v>
      </c>
      <c r="E504" s="10" t="s">
        <v>6</v>
      </c>
      <c r="F504" s="10" t="s">
        <v>7</v>
      </c>
      <c r="G504" s="1"/>
    </row>
    <row r="505" spans="1:7" ht="16.5" customHeight="1">
      <c r="A505" s="50"/>
      <c r="B505" s="50" t="s">
        <v>6</v>
      </c>
      <c r="C505" s="27" t="s">
        <v>105</v>
      </c>
      <c r="D505" s="50"/>
      <c r="E505" s="11">
        <v>28000000</v>
      </c>
      <c r="F505" s="11"/>
      <c r="G505" s="1"/>
    </row>
    <row r="506" spans="1:7" ht="16.5" customHeight="1">
      <c r="A506" s="50"/>
      <c r="B506" s="50" t="s">
        <v>7</v>
      </c>
      <c r="C506" s="27" t="s">
        <v>11</v>
      </c>
      <c r="D506" s="50"/>
      <c r="E506" s="11"/>
      <c r="F506" s="11">
        <f>E507</f>
        <v>28000000</v>
      </c>
      <c r="G506" s="1"/>
    </row>
    <row r="507" spans="1:7" ht="16.5" customHeight="1">
      <c r="A507" s="54"/>
      <c r="B507" s="54"/>
      <c r="C507" s="54"/>
      <c r="D507" s="54"/>
      <c r="E507" s="12">
        <f>SUM(E505:E506)</f>
        <v>28000000</v>
      </c>
      <c r="F507" s="12">
        <f>SUM(F505:F506)</f>
        <v>28000000</v>
      </c>
      <c r="G507" s="1">
        <f>E507-F507</f>
        <v>0</v>
      </c>
    </row>
    <row r="508" spans="1:7" ht="16.5" customHeight="1">
      <c r="A508" s="43" t="s">
        <v>106</v>
      </c>
      <c r="B508" s="44"/>
      <c r="C508" s="44"/>
      <c r="D508" s="44"/>
      <c r="E508" s="44"/>
      <c r="F508" s="45"/>
      <c r="G508" s="1"/>
    </row>
    <row r="509" spans="1:7" ht="16.5" customHeight="1">
      <c r="A509" s="46"/>
      <c r="B509" s="46"/>
      <c r="C509" s="46"/>
      <c r="D509" s="46"/>
      <c r="E509" s="46"/>
      <c r="F509" s="46"/>
      <c r="G509" s="1"/>
    </row>
    <row r="510" spans="1:7">
      <c r="A510" s="47" t="s">
        <v>0</v>
      </c>
      <c r="B510" s="48"/>
      <c r="C510" s="48"/>
      <c r="D510" s="48"/>
      <c r="E510" s="48"/>
      <c r="F510" s="49"/>
      <c r="G510" s="13"/>
    </row>
    <row r="511" spans="1:7">
      <c r="A511" s="50" t="s">
        <v>1</v>
      </c>
      <c r="B511" s="50"/>
      <c r="C511" s="51"/>
      <c r="D511" s="50" t="s">
        <v>2</v>
      </c>
      <c r="E511" s="8" t="s">
        <v>43</v>
      </c>
      <c r="F511" s="9"/>
      <c r="G511" s="13"/>
    </row>
    <row r="512" spans="1:7">
      <c r="A512" s="50"/>
      <c r="B512" s="50"/>
      <c r="C512" s="52" t="s">
        <v>4</v>
      </c>
      <c r="D512" s="52" t="s">
        <v>5</v>
      </c>
      <c r="E512" s="10" t="s">
        <v>6</v>
      </c>
      <c r="F512" s="10" t="s">
        <v>7</v>
      </c>
      <c r="G512" s="13"/>
    </row>
    <row r="513" spans="1:7">
      <c r="A513" s="50"/>
      <c r="B513" s="50" t="s">
        <v>6</v>
      </c>
      <c r="C513" s="50" t="s">
        <v>77</v>
      </c>
      <c r="D513" s="50"/>
      <c r="E513" s="11">
        <v>1472000</v>
      </c>
      <c r="F513" s="11">
        <v>0</v>
      </c>
      <c r="G513" s="13"/>
    </row>
    <row r="514" spans="1:7">
      <c r="A514" s="50"/>
      <c r="B514" s="50" t="s">
        <v>7</v>
      </c>
      <c r="C514" s="27" t="s">
        <v>11</v>
      </c>
      <c r="D514" s="50"/>
      <c r="E514" s="11"/>
      <c r="F514" s="11">
        <f>E515</f>
        <v>1472000</v>
      </c>
      <c r="G514" s="13"/>
    </row>
    <row r="515" spans="1:7">
      <c r="A515" s="54"/>
      <c r="B515" s="54"/>
      <c r="C515" s="54"/>
      <c r="D515" s="54"/>
      <c r="E515" s="12">
        <f>SUM(E513:E514)</f>
        <v>1472000</v>
      </c>
      <c r="F515" s="12">
        <f>SUM(F513:F514)</f>
        <v>1472000</v>
      </c>
      <c r="G515" s="13"/>
    </row>
    <row r="516" spans="1:7">
      <c r="A516" s="43" t="s">
        <v>107</v>
      </c>
      <c r="B516" s="44"/>
      <c r="C516" s="44"/>
      <c r="D516" s="44"/>
      <c r="E516" s="44"/>
      <c r="F516" s="45"/>
      <c r="G516" s="13"/>
    </row>
    <row r="518" spans="1:7">
      <c r="A518" s="47" t="s">
        <v>0</v>
      </c>
      <c r="B518" s="48"/>
      <c r="C518" s="48"/>
      <c r="D518" s="48"/>
      <c r="E518" s="48"/>
      <c r="F518" s="49"/>
      <c r="G518" s="13"/>
    </row>
    <row r="519" spans="1:7">
      <c r="A519" s="50" t="s">
        <v>1</v>
      </c>
      <c r="B519" s="50"/>
      <c r="C519" s="51"/>
      <c r="D519" s="50" t="s">
        <v>2</v>
      </c>
      <c r="E519" s="8" t="s">
        <v>101</v>
      </c>
      <c r="F519" s="9"/>
      <c r="G519" s="13"/>
    </row>
    <row r="520" spans="1:7">
      <c r="A520" s="50"/>
      <c r="B520" s="50"/>
      <c r="C520" s="52" t="s">
        <v>4</v>
      </c>
      <c r="D520" s="52" t="s">
        <v>5</v>
      </c>
      <c r="E520" s="10" t="s">
        <v>6</v>
      </c>
      <c r="F520" s="10" t="s">
        <v>7</v>
      </c>
    </row>
    <row r="521" spans="1:7">
      <c r="A521" s="50"/>
      <c r="B521" s="50" t="s">
        <v>6</v>
      </c>
      <c r="C521" s="50" t="s">
        <v>79</v>
      </c>
      <c r="D521" s="50"/>
      <c r="E521" s="11">
        <v>29480394.239999998</v>
      </c>
      <c r="F521" s="11">
        <v>0</v>
      </c>
      <c r="G521" s="13" t="s">
        <v>108</v>
      </c>
    </row>
    <row r="522" spans="1:7">
      <c r="A522" s="50"/>
      <c r="B522" s="50" t="s">
        <v>7</v>
      </c>
      <c r="C522" s="50" t="s">
        <v>81</v>
      </c>
      <c r="D522" s="50"/>
      <c r="E522" s="11"/>
      <c r="F522" s="11">
        <f>E521</f>
        <v>29480394.239999998</v>
      </c>
      <c r="G522" s="13"/>
    </row>
    <row r="523" spans="1:7">
      <c r="A523" s="54"/>
      <c r="B523" s="54"/>
      <c r="C523" s="54"/>
      <c r="D523" s="54"/>
      <c r="E523" s="12">
        <f>SUM(E521:E522)</f>
        <v>29480394.239999998</v>
      </c>
      <c r="F523" s="12">
        <f>SUM(F521:F522)</f>
        <v>29480394.239999998</v>
      </c>
      <c r="G523" s="13"/>
    </row>
    <row r="524" spans="1:7" ht="45" customHeight="1">
      <c r="A524" s="43" t="s">
        <v>109</v>
      </c>
      <c r="B524" s="44"/>
      <c r="C524" s="44"/>
      <c r="D524" s="44"/>
      <c r="E524" s="44"/>
      <c r="F524" s="45"/>
      <c r="G524" s="13"/>
    </row>
    <row r="525" spans="1:7">
      <c r="E525" s="1"/>
      <c r="G525" s="13"/>
    </row>
    <row r="526" spans="1:7">
      <c r="A526" s="47" t="s">
        <v>0</v>
      </c>
      <c r="B526" s="48"/>
      <c r="C526" s="48"/>
      <c r="D526" s="48"/>
      <c r="E526" s="48"/>
      <c r="F526" s="49"/>
      <c r="G526" s="13"/>
    </row>
    <row r="527" spans="1:7">
      <c r="A527" s="50" t="s">
        <v>1</v>
      </c>
      <c r="B527" s="50"/>
      <c r="C527" s="51"/>
      <c r="D527" s="50" t="s">
        <v>2</v>
      </c>
      <c r="E527" s="8" t="str">
        <f>E519</f>
        <v>.2083-03-08</v>
      </c>
      <c r="F527" s="9"/>
      <c r="G527" s="13"/>
    </row>
    <row r="528" spans="1:7">
      <c r="A528" s="50"/>
      <c r="B528" s="50"/>
      <c r="C528" s="52" t="s">
        <v>4</v>
      </c>
      <c r="D528" s="52" t="s">
        <v>5</v>
      </c>
      <c r="E528" s="10" t="s">
        <v>13</v>
      </c>
      <c r="F528" s="10" t="s">
        <v>7</v>
      </c>
      <c r="G528" s="13"/>
    </row>
    <row r="529" spans="1:10">
      <c r="A529" s="50"/>
      <c r="B529" s="50" t="s">
        <v>6</v>
      </c>
      <c r="C529" s="50" t="s">
        <v>83</v>
      </c>
      <c r="D529" s="50"/>
      <c r="E529" s="11">
        <v>1477469</v>
      </c>
      <c r="F529" s="11"/>
      <c r="G529" s="13"/>
    </row>
    <row r="530" spans="1:10">
      <c r="A530" s="50"/>
      <c r="B530" s="50" t="s">
        <v>6</v>
      </c>
      <c r="C530" s="50" t="s">
        <v>84</v>
      </c>
      <c r="D530" s="50"/>
      <c r="E530" s="11">
        <v>967.21</v>
      </c>
      <c r="F530" s="11"/>
      <c r="G530" s="13"/>
    </row>
    <row r="531" spans="1:10">
      <c r="A531" s="50"/>
      <c r="B531" s="50" t="s">
        <v>7</v>
      </c>
      <c r="C531" s="50" t="s">
        <v>77</v>
      </c>
      <c r="D531" s="50"/>
      <c r="E531" s="11">
        <v>0</v>
      </c>
      <c r="F531" s="11">
        <v>1472000</v>
      </c>
      <c r="G531" s="13"/>
    </row>
    <row r="532" spans="1:10">
      <c r="A532" s="50"/>
      <c r="B532" s="50" t="s">
        <v>7</v>
      </c>
      <c r="C532" s="27" t="s">
        <v>11</v>
      </c>
      <c r="D532" s="50"/>
      <c r="E532" s="11"/>
      <c r="F532" s="11">
        <f>E533-F531</f>
        <v>6436.2099999999627</v>
      </c>
      <c r="G532" s="13"/>
    </row>
    <row r="533" spans="1:10">
      <c r="A533" s="54"/>
      <c r="B533" s="54"/>
      <c r="C533" s="54"/>
      <c r="D533" s="54"/>
      <c r="E533" s="12">
        <f>SUM(E529:E532)</f>
        <v>1478436.21</v>
      </c>
      <c r="F533" s="12">
        <f>SUM(F529:F532)</f>
        <v>1478436.21</v>
      </c>
      <c r="G533" s="13"/>
    </row>
    <row r="534" spans="1:10" ht="31.8" customHeight="1">
      <c r="A534" s="43" t="s">
        <v>110</v>
      </c>
      <c r="B534" s="44"/>
      <c r="C534" s="44"/>
      <c r="D534" s="44"/>
      <c r="E534" s="44"/>
      <c r="F534" s="45"/>
      <c r="G534" s="13"/>
    </row>
    <row r="535" spans="1:10">
      <c r="A535" s="46"/>
      <c r="B535" s="46"/>
      <c r="C535" s="46"/>
      <c r="D535" s="46"/>
      <c r="E535" s="14"/>
      <c r="F535" s="46"/>
      <c r="G535" s="13"/>
    </row>
    <row r="536" spans="1:10">
      <c r="A536" s="47" t="s">
        <v>0</v>
      </c>
      <c r="B536" s="48"/>
      <c r="C536" s="48"/>
      <c r="D536" s="48"/>
      <c r="E536" s="48"/>
      <c r="F536" s="49"/>
      <c r="G536" s="13"/>
    </row>
    <row r="537" spans="1:10">
      <c r="A537" s="50" t="s">
        <v>1</v>
      </c>
      <c r="B537" s="50"/>
      <c r="C537" s="51"/>
      <c r="D537" s="50" t="s">
        <v>2</v>
      </c>
      <c r="E537" s="8" t="str">
        <f>E527</f>
        <v>.2083-03-08</v>
      </c>
      <c r="F537" s="9"/>
      <c r="G537" s="13"/>
    </row>
    <row r="538" spans="1:10">
      <c r="A538" s="50"/>
      <c r="B538" s="50"/>
      <c r="C538" s="52" t="s">
        <v>4</v>
      </c>
      <c r="D538" s="52" t="s">
        <v>5</v>
      </c>
      <c r="E538" s="10" t="s">
        <v>6</v>
      </c>
      <c r="F538" s="10" t="s">
        <v>7</v>
      </c>
      <c r="G538" s="13"/>
    </row>
    <row r="539" spans="1:10">
      <c r="A539" s="50"/>
      <c r="B539" s="50" t="s">
        <v>6</v>
      </c>
      <c r="C539" s="27" t="s">
        <v>86</v>
      </c>
      <c r="D539" s="50"/>
      <c r="E539" s="11">
        <v>10990</v>
      </c>
      <c r="F539" s="11"/>
      <c r="G539" s="13" t="s">
        <v>111</v>
      </c>
    </row>
    <row r="540" spans="1:10">
      <c r="A540" s="50"/>
      <c r="B540" s="50" t="s">
        <v>6</v>
      </c>
      <c r="C540" s="27" t="s">
        <v>88</v>
      </c>
      <c r="D540" s="50"/>
      <c r="E540" s="11">
        <v>31717</v>
      </c>
      <c r="F540" s="11"/>
      <c r="G540" s="13" t="s">
        <v>112</v>
      </c>
      <c r="J540" s="58"/>
    </row>
    <row r="541" spans="1:10" ht="16.5" customHeight="1">
      <c r="A541" s="50"/>
      <c r="B541" s="50" t="s">
        <v>7</v>
      </c>
      <c r="C541" s="27" t="s">
        <v>90</v>
      </c>
      <c r="D541" s="50"/>
      <c r="E541" s="11"/>
      <c r="F541" s="11">
        <v>1264</v>
      </c>
      <c r="G541" s="13"/>
    </row>
    <row r="542" spans="1:10">
      <c r="A542" s="50"/>
      <c r="B542" s="50" t="s">
        <v>7</v>
      </c>
      <c r="C542" s="27" t="s">
        <v>91</v>
      </c>
      <c r="D542" s="50"/>
      <c r="E542" s="11"/>
      <c r="F542" s="11">
        <v>317</v>
      </c>
      <c r="G542" s="13"/>
    </row>
    <row r="543" spans="1:10">
      <c r="A543" s="50"/>
      <c r="B543" s="50" t="s">
        <v>25</v>
      </c>
      <c r="C543" s="27" t="s">
        <v>92</v>
      </c>
      <c r="D543" s="50"/>
      <c r="E543" s="11"/>
      <c r="F543" s="11">
        <f>E544-F541-F542</f>
        <v>41126</v>
      </c>
      <c r="G543" s="13"/>
    </row>
    <row r="544" spans="1:10">
      <c r="A544" s="54"/>
      <c r="B544" s="54"/>
      <c r="C544" s="54"/>
      <c r="D544" s="54"/>
      <c r="E544" s="12">
        <f>SUM(E539:E543)</f>
        <v>42707</v>
      </c>
      <c r="F544" s="12">
        <f>SUM(F539:F543)</f>
        <v>42707</v>
      </c>
      <c r="G544" s="13"/>
    </row>
    <row r="545" spans="1:10" ht="15" customHeight="1">
      <c r="A545" s="43" t="s">
        <v>27</v>
      </c>
      <c r="B545" s="44"/>
      <c r="C545" s="44"/>
      <c r="D545" s="44"/>
      <c r="E545" s="44"/>
      <c r="F545" s="45"/>
      <c r="G545" s="13"/>
    </row>
    <row r="546" spans="1:10">
      <c r="A546" s="46"/>
      <c r="B546" s="46"/>
      <c r="C546" s="46"/>
      <c r="D546" s="46"/>
      <c r="E546" s="14"/>
      <c r="F546" s="46"/>
      <c r="G546" s="13"/>
    </row>
    <row r="547" spans="1:10">
      <c r="A547" s="47" t="s">
        <v>0</v>
      </c>
      <c r="B547" s="48"/>
      <c r="C547" s="48"/>
      <c r="D547" s="48"/>
      <c r="E547" s="48"/>
      <c r="F547" s="49"/>
      <c r="G547" s="13"/>
    </row>
    <row r="548" spans="1:10">
      <c r="A548" s="50" t="s">
        <v>1</v>
      </c>
      <c r="B548" s="50"/>
      <c r="C548" s="51"/>
      <c r="D548" s="50" t="s">
        <v>2</v>
      </c>
      <c r="E548" s="8" t="str">
        <f>E537</f>
        <v>.2083-03-08</v>
      </c>
      <c r="F548" s="9"/>
      <c r="G548" s="13"/>
    </row>
    <row r="549" spans="1:10">
      <c r="A549" s="50"/>
      <c r="B549" s="50"/>
      <c r="C549" s="52" t="s">
        <v>4</v>
      </c>
      <c r="D549" s="52" t="s">
        <v>5</v>
      </c>
      <c r="E549" s="10" t="s">
        <v>6</v>
      </c>
      <c r="F549" s="10" t="s">
        <v>7</v>
      </c>
      <c r="G549" s="13"/>
    </row>
    <row r="550" spans="1:10">
      <c r="A550" s="50"/>
      <c r="B550" s="50" t="s">
        <v>6</v>
      </c>
      <c r="C550" s="27" t="s">
        <v>86</v>
      </c>
      <c r="D550" s="50"/>
      <c r="E550" s="11">
        <v>11375</v>
      </c>
      <c r="F550" s="11"/>
      <c r="G550" s="13" t="s">
        <v>113</v>
      </c>
    </row>
    <row r="551" spans="1:10">
      <c r="A551" s="50"/>
      <c r="B551" s="50" t="s">
        <v>6</v>
      </c>
      <c r="C551" s="27" t="s">
        <v>88</v>
      </c>
      <c r="D551" s="50"/>
      <c r="E551" s="11">
        <v>32828</v>
      </c>
      <c r="F551" s="11"/>
      <c r="G551" s="13" t="s">
        <v>114</v>
      </c>
      <c r="J551" s="58"/>
    </row>
    <row r="552" spans="1:10" ht="19.5" customHeight="1">
      <c r="A552" s="50"/>
      <c r="B552" s="50" t="s">
        <v>7</v>
      </c>
      <c r="C552" s="27" t="s">
        <v>90</v>
      </c>
      <c r="D552" s="50"/>
      <c r="E552" s="11"/>
      <c r="F552" s="11">
        <v>1309</v>
      </c>
      <c r="G552" s="13"/>
    </row>
    <row r="553" spans="1:10">
      <c r="A553" s="50"/>
      <c r="B553" s="50" t="s">
        <v>7</v>
      </c>
      <c r="C553" s="27" t="s">
        <v>91</v>
      </c>
      <c r="D553" s="50"/>
      <c r="E553" s="11"/>
      <c r="F553" s="11">
        <v>328</v>
      </c>
      <c r="G553" s="13"/>
    </row>
    <row r="554" spans="1:10">
      <c r="A554" s="50"/>
      <c r="B554" s="50" t="s">
        <v>25</v>
      </c>
      <c r="C554" s="27" t="s">
        <v>92</v>
      </c>
      <c r="D554" s="50"/>
      <c r="E554" s="11"/>
      <c r="F554" s="11">
        <f>E555-F552-F553</f>
        <v>42566</v>
      </c>
      <c r="G554" s="13"/>
    </row>
    <row r="555" spans="1:10">
      <c r="A555" s="54"/>
      <c r="B555" s="54"/>
      <c r="C555" s="54"/>
      <c r="D555" s="54"/>
      <c r="E555" s="12">
        <f>SUM(E550:E554)</f>
        <v>44203</v>
      </c>
      <c r="F555" s="12">
        <f>SUM(F550:F554)</f>
        <v>44203</v>
      </c>
      <c r="G555" s="13"/>
    </row>
    <row r="556" spans="1:10" ht="15" customHeight="1">
      <c r="A556" s="43" t="s">
        <v>27</v>
      </c>
      <c r="B556" s="44"/>
      <c r="C556" s="44"/>
      <c r="D556" s="44"/>
      <c r="E556" s="44"/>
      <c r="F556" s="45"/>
      <c r="G556" s="13"/>
    </row>
    <row r="557" spans="1:10">
      <c r="A557" s="46"/>
      <c r="B557" s="46"/>
      <c r="C557" s="46"/>
      <c r="D557" s="46"/>
      <c r="E557" s="46"/>
      <c r="F557" s="46"/>
      <c r="G557" s="13"/>
    </row>
    <row r="558" spans="1:10">
      <c r="A558" s="47" t="s">
        <v>0</v>
      </c>
      <c r="B558" s="48"/>
      <c r="C558" s="48"/>
      <c r="D558" s="48"/>
      <c r="E558" s="48"/>
      <c r="F558" s="49"/>
      <c r="G558" s="13"/>
    </row>
    <row r="559" spans="1:10">
      <c r="A559" s="50" t="s">
        <v>1</v>
      </c>
      <c r="B559" s="50"/>
      <c r="C559" s="51"/>
      <c r="D559" s="50" t="s">
        <v>2</v>
      </c>
      <c r="E559" s="8" t="str">
        <f>E548</f>
        <v>.2083-03-08</v>
      </c>
      <c r="F559" s="9"/>
      <c r="G559" s="13"/>
    </row>
    <row r="560" spans="1:10">
      <c r="A560" s="50"/>
      <c r="B560" s="50"/>
      <c r="C560" s="52" t="s">
        <v>4</v>
      </c>
      <c r="D560" s="52" t="s">
        <v>5</v>
      </c>
      <c r="E560" s="10" t="s">
        <v>6</v>
      </c>
      <c r="F560" s="10" t="s">
        <v>7</v>
      </c>
      <c r="G560" s="13"/>
    </row>
    <row r="561" spans="1:10">
      <c r="A561" s="50"/>
      <c r="B561" s="50" t="s">
        <v>6</v>
      </c>
      <c r="C561" s="27" t="s">
        <v>86</v>
      </c>
      <c r="D561" s="50"/>
      <c r="E561" s="11">
        <v>11060</v>
      </c>
      <c r="F561" s="11"/>
      <c r="G561" s="13" t="s">
        <v>115</v>
      </c>
    </row>
    <row r="562" spans="1:10">
      <c r="A562" s="50"/>
      <c r="B562" s="50" t="s">
        <v>6</v>
      </c>
      <c r="C562" s="27" t="s">
        <v>88</v>
      </c>
      <c r="D562" s="50"/>
      <c r="E562" s="11">
        <v>31919</v>
      </c>
      <c r="F562" s="11"/>
      <c r="G562" s="13" t="s">
        <v>116</v>
      </c>
      <c r="J562" s="58"/>
    </row>
    <row r="563" spans="1:10">
      <c r="A563" s="50"/>
      <c r="B563" s="50" t="s">
        <v>7</v>
      </c>
      <c r="C563" s="27" t="s">
        <v>90</v>
      </c>
      <c r="D563" s="50"/>
      <c r="E563" s="11"/>
      <c r="F563" s="11">
        <v>1272</v>
      </c>
      <c r="G563" s="13"/>
    </row>
    <row r="564" spans="1:10">
      <c r="A564" s="50"/>
      <c r="B564" s="50" t="s">
        <v>7</v>
      </c>
      <c r="C564" s="27" t="s">
        <v>91</v>
      </c>
      <c r="D564" s="50"/>
      <c r="E564" s="11"/>
      <c r="F564" s="11">
        <v>319</v>
      </c>
      <c r="G564" s="13"/>
    </row>
    <row r="565" spans="1:10">
      <c r="A565" s="50"/>
      <c r="B565" s="50" t="s">
        <v>25</v>
      </c>
      <c r="C565" s="27" t="s">
        <v>92</v>
      </c>
      <c r="D565" s="50"/>
      <c r="E565" s="11"/>
      <c r="F565" s="11">
        <f>E566-F563-F564</f>
        <v>41388</v>
      </c>
      <c r="G565" s="13"/>
    </row>
    <row r="566" spans="1:10">
      <c r="A566" s="54"/>
      <c r="B566" s="54"/>
      <c r="C566" s="54"/>
      <c r="D566" s="54"/>
      <c r="E566" s="12">
        <f>SUM(E561:E565)</f>
        <v>42979</v>
      </c>
      <c r="F566" s="12">
        <f>SUM(F561:F565)</f>
        <v>42979</v>
      </c>
      <c r="G566" s="13"/>
    </row>
    <row r="567" spans="1:10" ht="15" customHeight="1">
      <c r="A567" s="43" t="s">
        <v>27</v>
      </c>
      <c r="B567" s="44"/>
      <c r="C567" s="44"/>
      <c r="D567" s="44"/>
      <c r="E567" s="44"/>
      <c r="F567" s="45"/>
      <c r="G567" s="13"/>
    </row>
    <row r="568" spans="1:10">
      <c r="A568" s="46"/>
      <c r="B568" s="46"/>
      <c r="C568" s="46"/>
      <c r="D568" s="46"/>
      <c r="E568" s="46"/>
      <c r="F568" s="46"/>
      <c r="G568" s="13"/>
    </row>
    <row r="569" spans="1:10">
      <c r="A569" s="47" t="s">
        <v>0</v>
      </c>
      <c r="B569" s="48"/>
      <c r="C569" s="48"/>
      <c r="D569" s="48"/>
      <c r="E569" s="48"/>
      <c r="F569" s="49"/>
      <c r="G569" s="13"/>
    </row>
    <row r="570" spans="1:10">
      <c r="A570" s="50" t="s">
        <v>1</v>
      </c>
      <c r="B570" s="50"/>
      <c r="C570" s="51"/>
      <c r="D570" s="50" t="s">
        <v>2</v>
      </c>
      <c r="E570" s="8" t="str">
        <f>E559</f>
        <v>.2083-03-08</v>
      </c>
      <c r="F570" s="9"/>
      <c r="G570" s="13"/>
    </row>
    <row r="571" spans="1:10">
      <c r="A571" s="50"/>
      <c r="B571" s="50"/>
      <c r="C571" s="52" t="s">
        <v>4</v>
      </c>
      <c r="D571" s="52" t="s">
        <v>5</v>
      </c>
      <c r="E571" s="10" t="s">
        <v>6</v>
      </c>
      <c r="F571" s="10" t="s">
        <v>7</v>
      </c>
      <c r="G571" s="13"/>
    </row>
    <row r="572" spans="1:10">
      <c r="A572" s="50"/>
      <c r="B572" s="50" t="s">
        <v>6</v>
      </c>
      <c r="C572" s="27" t="s">
        <v>86</v>
      </c>
      <c r="D572" s="50"/>
      <c r="E572" s="11">
        <v>11200</v>
      </c>
      <c r="F572" s="11"/>
      <c r="G572" s="13" t="s">
        <v>117</v>
      </c>
    </row>
    <row r="573" spans="1:10">
      <c r="A573" s="50"/>
      <c r="B573" s="50" t="s">
        <v>6</v>
      </c>
      <c r="C573" s="27" t="s">
        <v>88</v>
      </c>
      <c r="D573" s="50"/>
      <c r="E573" s="11">
        <v>32323</v>
      </c>
      <c r="F573" s="11"/>
      <c r="G573" s="13" t="s">
        <v>118</v>
      </c>
      <c r="J573" s="58"/>
    </row>
    <row r="574" spans="1:10">
      <c r="A574" s="50"/>
      <c r="B574" s="50" t="s">
        <v>7</v>
      </c>
      <c r="C574" s="27" t="s">
        <v>90</v>
      </c>
      <c r="D574" s="50"/>
      <c r="E574" s="11"/>
      <c r="F574" s="11">
        <v>1288</v>
      </c>
      <c r="G574" s="13"/>
    </row>
    <row r="575" spans="1:10">
      <c r="A575" s="50"/>
      <c r="B575" s="50" t="s">
        <v>7</v>
      </c>
      <c r="C575" s="27" t="s">
        <v>91</v>
      </c>
      <c r="D575" s="50"/>
      <c r="E575" s="11"/>
      <c r="F575" s="11">
        <v>323</v>
      </c>
      <c r="G575" s="13"/>
    </row>
    <row r="576" spans="1:10">
      <c r="A576" s="50"/>
      <c r="B576" s="50" t="s">
        <v>25</v>
      </c>
      <c r="C576" s="27" t="s">
        <v>92</v>
      </c>
      <c r="D576" s="50"/>
      <c r="E576" s="11"/>
      <c r="F576" s="11">
        <f>E577-F574-F575</f>
        <v>41912</v>
      </c>
      <c r="G576" s="13"/>
    </row>
    <row r="577" spans="1:10">
      <c r="A577" s="54"/>
      <c r="B577" s="54"/>
      <c r="C577" s="54"/>
      <c r="D577" s="54"/>
      <c r="E577" s="12">
        <f>SUM(E572:E576)</f>
        <v>43523</v>
      </c>
      <c r="F577" s="12">
        <f>SUM(F572:F576)</f>
        <v>43523</v>
      </c>
      <c r="G577" s="13"/>
    </row>
    <row r="578" spans="1:10" ht="15" customHeight="1">
      <c r="A578" s="43" t="s">
        <v>27</v>
      </c>
      <c r="B578" s="44"/>
      <c r="C578" s="44"/>
      <c r="D578" s="44"/>
      <c r="E578" s="44"/>
      <c r="F578" s="45"/>
      <c r="G578" s="13"/>
    </row>
    <row r="579" spans="1:10">
      <c r="E579" s="1"/>
    </row>
    <row r="580" spans="1:10">
      <c r="A580" s="47" t="s">
        <v>0</v>
      </c>
      <c r="B580" s="48"/>
      <c r="C580" s="48"/>
      <c r="D580" s="48"/>
      <c r="E580" s="48"/>
      <c r="F580" s="49"/>
      <c r="G580" s="13"/>
    </row>
    <row r="581" spans="1:10">
      <c r="A581" s="50" t="s">
        <v>1</v>
      </c>
      <c r="B581" s="50"/>
      <c r="C581" s="51"/>
      <c r="D581" s="50" t="s">
        <v>2</v>
      </c>
      <c r="E581" s="8" t="str">
        <f>E570</f>
        <v>.2083-03-08</v>
      </c>
      <c r="F581" s="9"/>
      <c r="G581" s="13"/>
    </row>
    <row r="582" spans="1:10">
      <c r="A582" s="50"/>
      <c r="B582" s="50"/>
      <c r="C582" s="52" t="s">
        <v>4</v>
      </c>
      <c r="D582" s="52" t="s">
        <v>5</v>
      </c>
      <c r="E582" s="10" t="s">
        <v>6</v>
      </c>
      <c r="F582" s="10" t="s">
        <v>7</v>
      </c>
      <c r="G582" s="13"/>
    </row>
    <row r="583" spans="1:10">
      <c r="A583" s="50"/>
      <c r="B583" s="50" t="s">
        <v>6</v>
      </c>
      <c r="C583" s="27" t="s">
        <v>86</v>
      </c>
      <c r="D583" s="50"/>
      <c r="E583" s="11">
        <v>9100</v>
      </c>
      <c r="F583" s="11"/>
      <c r="G583" s="13" t="s">
        <v>119</v>
      </c>
    </row>
    <row r="584" spans="1:10">
      <c r="A584" s="50"/>
      <c r="B584" s="50" t="s">
        <v>6</v>
      </c>
      <c r="C584" s="27" t="s">
        <v>88</v>
      </c>
      <c r="D584" s="50"/>
      <c r="E584" s="11">
        <v>26262</v>
      </c>
      <c r="F584" s="11"/>
      <c r="G584" s="13" t="s">
        <v>120</v>
      </c>
      <c r="J584" s="58"/>
    </row>
    <row r="585" spans="1:10">
      <c r="A585" s="50"/>
      <c r="B585" s="50" t="s">
        <v>7</v>
      </c>
      <c r="C585" s="27" t="s">
        <v>90</v>
      </c>
      <c r="D585" s="50"/>
      <c r="E585" s="11"/>
      <c r="F585" s="11">
        <v>1047</v>
      </c>
      <c r="G585" s="13"/>
    </row>
    <row r="586" spans="1:10">
      <c r="A586" s="50"/>
      <c r="B586" s="50" t="s">
        <v>7</v>
      </c>
      <c r="C586" s="27" t="s">
        <v>91</v>
      </c>
      <c r="D586" s="50"/>
      <c r="E586" s="11"/>
      <c r="F586" s="11">
        <v>262</v>
      </c>
      <c r="G586" s="13"/>
    </row>
    <row r="587" spans="1:10">
      <c r="A587" s="50"/>
      <c r="B587" s="50" t="s">
        <v>25</v>
      </c>
      <c r="C587" s="27" t="s">
        <v>92</v>
      </c>
      <c r="D587" s="50"/>
      <c r="E587" s="11"/>
      <c r="F587" s="11">
        <f>E588-F585-F586</f>
        <v>34053</v>
      </c>
      <c r="G587" s="13"/>
    </row>
    <row r="588" spans="1:10">
      <c r="A588" s="54"/>
      <c r="B588" s="54"/>
      <c r="C588" s="54"/>
      <c r="D588" s="54"/>
      <c r="E588" s="12">
        <f>SUM(E583:E587)</f>
        <v>35362</v>
      </c>
      <c r="F588" s="12">
        <f>SUM(F583:F587)</f>
        <v>35362</v>
      </c>
      <c r="G588" s="13"/>
    </row>
    <row r="589" spans="1:10" ht="15" customHeight="1">
      <c r="A589" s="43" t="s">
        <v>27</v>
      </c>
      <c r="B589" s="44"/>
      <c r="C589" s="44"/>
      <c r="D589" s="44"/>
      <c r="E589" s="44"/>
      <c r="F589" s="45"/>
      <c r="G589" s="13"/>
    </row>
    <row r="590" spans="1:10" ht="15" customHeight="1">
      <c r="A590" s="46"/>
      <c r="B590" s="46"/>
      <c r="C590" s="46"/>
      <c r="D590" s="46"/>
      <c r="E590" s="46"/>
      <c r="F590" s="46"/>
      <c r="G590" s="13"/>
    </row>
    <row r="591" spans="1:10">
      <c r="A591" s="47" t="s">
        <v>0</v>
      </c>
      <c r="B591" s="48"/>
      <c r="C591" s="48"/>
      <c r="D591" s="48"/>
      <c r="E591" s="48"/>
      <c r="F591" s="49"/>
      <c r="G591" s="7"/>
    </row>
    <row r="592" spans="1:10">
      <c r="A592" s="50" t="s">
        <v>1</v>
      </c>
      <c r="B592" s="50"/>
      <c r="C592" s="51"/>
      <c r="D592" s="50" t="s">
        <v>2</v>
      </c>
      <c r="E592" s="8" t="s">
        <v>101</v>
      </c>
      <c r="F592" s="9"/>
      <c r="G592" s="7"/>
    </row>
    <row r="593" spans="1:8">
      <c r="A593" s="50"/>
      <c r="B593" s="50"/>
      <c r="C593" s="52" t="s">
        <v>4</v>
      </c>
      <c r="D593" s="52" t="s">
        <v>5</v>
      </c>
      <c r="E593" s="10" t="s">
        <v>6</v>
      </c>
      <c r="F593" s="10" t="s">
        <v>7</v>
      </c>
      <c r="G593" s="7"/>
    </row>
    <row r="594" spans="1:8">
      <c r="A594" s="50"/>
      <c r="B594" s="50" t="s">
        <v>6</v>
      </c>
      <c r="C594" s="27" t="s">
        <v>18</v>
      </c>
      <c r="D594" s="50"/>
      <c r="E594" s="11">
        <v>565</v>
      </c>
      <c r="F594" s="11"/>
      <c r="G594" s="7"/>
    </row>
    <row r="595" spans="1:8">
      <c r="A595" s="50"/>
      <c r="B595" s="50" t="s">
        <v>6</v>
      </c>
      <c r="C595" s="27" t="s">
        <v>19</v>
      </c>
      <c r="D595" s="50"/>
      <c r="E595" s="11">
        <v>1600</v>
      </c>
      <c r="F595" s="11"/>
      <c r="G595" s="7"/>
    </row>
    <row r="596" spans="1:8">
      <c r="A596" s="50"/>
      <c r="B596" s="50" t="s">
        <v>6</v>
      </c>
      <c r="C596" s="27" t="s">
        <v>20</v>
      </c>
      <c r="D596" s="50"/>
      <c r="E596" s="11">
        <v>1717</v>
      </c>
      <c r="F596" s="11"/>
      <c r="G596" s="7"/>
    </row>
    <row r="597" spans="1:8">
      <c r="A597" s="50"/>
      <c r="B597" s="50" t="s">
        <v>7</v>
      </c>
      <c r="C597" s="27" t="s">
        <v>21</v>
      </c>
      <c r="D597" s="50"/>
      <c r="E597" s="11"/>
      <c r="F597" s="11">
        <v>7.5</v>
      </c>
      <c r="G597" s="7"/>
    </row>
    <row r="598" spans="1:8">
      <c r="A598" s="50"/>
      <c r="B598" s="50" t="s">
        <v>7</v>
      </c>
      <c r="C598" s="27" t="s">
        <v>22</v>
      </c>
      <c r="D598" s="50"/>
      <c r="E598" s="11"/>
      <c r="F598" s="11">
        <v>184</v>
      </c>
      <c r="G598" s="7"/>
    </row>
    <row r="599" spans="1:8">
      <c r="A599" s="50"/>
      <c r="B599" s="50" t="s">
        <v>7</v>
      </c>
      <c r="C599" s="27" t="s">
        <v>23</v>
      </c>
      <c r="D599" s="50"/>
      <c r="E599" s="11"/>
      <c r="F599" s="11">
        <v>17</v>
      </c>
      <c r="G599" s="7"/>
    </row>
    <row r="600" spans="1:8">
      <c r="A600" s="50"/>
      <c r="B600" s="50" t="s">
        <v>7</v>
      </c>
      <c r="C600" s="27" t="s">
        <v>53</v>
      </c>
      <c r="D600" s="50"/>
      <c r="E600" s="11"/>
      <c r="F600" s="11">
        <v>557.5</v>
      </c>
      <c r="G600" s="53">
        <f>F600/1.115</f>
        <v>500</v>
      </c>
      <c r="H600" s="53"/>
    </row>
    <row r="601" spans="1:8">
      <c r="A601" s="50"/>
      <c r="B601" s="50" t="s">
        <v>25</v>
      </c>
      <c r="C601" s="27" t="s">
        <v>26</v>
      </c>
      <c r="D601" s="50"/>
      <c r="E601" s="11"/>
      <c r="F601" s="11">
        <v>3116</v>
      </c>
      <c r="G601" s="7"/>
    </row>
    <row r="602" spans="1:8">
      <c r="A602" s="54"/>
      <c r="B602" s="54"/>
      <c r="C602" s="54"/>
      <c r="D602" s="54"/>
      <c r="E602" s="12">
        <f>SUM(E594:E601)</f>
        <v>3882</v>
      </c>
      <c r="F602" s="12">
        <f>SUM(F594:F601)</f>
        <v>3882</v>
      </c>
      <c r="G602" s="7">
        <f>E602-F602</f>
        <v>0</v>
      </c>
    </row>
    <row r="603" spans="1:8">
      <c r="A603" s="43" t="s">
        <v>27</v>
      </c>
      <c r="B603" s="44"/>
      <c r="C603" s="44"/>
      <c r="D603" s="44"/>
      <c r="E603" s="44"/>
      <c r="F603" s="45"/>
      <c r="G603" s="7"/>
    </row>
    <row r="605" spans="1:8">
      <c r="A605" s="15" t="s">
        <v>0</v>
      </c>
      <c r="B605" s="16"/>
      <c r="C605" s="16"/>
      <c r="D605" s="16"/>
      <c r="E605" s="16"/>
      <c r="F605" s="17"/>
      <c r="G605" s="1"/>
    </row>
    <row r="606" spans="1:8">
      <c r="A606" s="19" t="s">
        <v>1</v>
      </c>
      <c r="B606" s="19"/>
      <c r="C606" s="20"/>
      <c r="D606" s="19" t="s">
        <v>2</v>
      </c>
      <c r="E606" s="21" t="s">
        <v>121</v>
      </c>
      <c r="F606" s="22"/>
      <c r="G606" s="1"/>
    </row>
    <row r="607" spans="1:8">
      <c r="A607" s="19"/>
      <c r="B607" s="19"/>
      <c r="C607" s="23" t="s">
        <v>4</v>
      </c>
      <c r="D607" s="23" t="s">
        <v>5</v>
      </c>
      <c r="E607" s="24" t="s">
        <v>6</v>
      </c>
      <c r="F607" s="24" t="s">
        <v>7</v>
      </c>
      <c r="G607" s="1"/>
    </row>
    <row r="608" spans="1:8">
      <c r="A608" s="19"/>
      <c r="B608" s="19" t="s">
        <v>6</v>
      </c>
      <c r="C608" s="25" t="s">
        <v>8</v>
      </c>
      <c r="D608" s="19"/>
      <c r="E608" s="26">
        <v>34425</v>
      </c>
      <c r="F608" s="26"/>
      <c r="G608" s="1"/>
    </row>
    <row r="609" spans="1:7">
      <c r="A609" s="19"/>
      <c r="B609" s="19" t="s">
        <v>6</v>
      </c>
      <c r="C609" s="25" t="s">
        <v>9</v>
      </c>
      <c r="D609" s="19"/>
      <c r="E609" s="26">
        <v>6075</v>
      </c>
      <c r="F609" s="26"/>
      <c r="G609" s="1"/>
    </row>
    <row r="610" spans="1:7">
      <c r="A610" s="19"/>
      <c r="B610" s="19" t="s">
        <v>6</v>
      </c>
      <c r="C610" s="25" t="s">
        <v>10</v>
      </c>
      <c r="D610" s="19"/>
      <c r="E610" s="26">
        <v>36</v>
      </c>
      <c r="F610" s="26"/>
      <c r="G610" s="1"/>
    </row>
    <row r="611" spans="1:7">
      <c r="A611" s="19"/>
      <c r="B611" s="19" t="s">
        <v>7</v>
      </c>
      <c r="C611" s="27" t="s">
        <v>11</v>
      </c>
      <c r="D611" s="19"/>
      <c r="E611" s="26"/>
      <c r="F611" s="26">
        <f>E612</f>
        <v>40536</v>
      </c>
      <c r="G611" s="1"/>
    </row>
    <row r="612" spans="1:7">
      <c r="A612" s="28"/>
      <c r="B612" s="28"/>
      <c r="C612" s="28"/>
      <c r="D612" s="28"/>
      <c r="E612" s="29">
        <f>SUM(E608:E611)</f>
        <v>40536</v>
      </c>
      <c r="F612" s="29">
        <f>SUM(F608:F611)</f>
        <v>40536</v>
      </c>
      <c r="G612" s="1"/>
    </row>
    <row r="613" spans="1:7" ht="14.4" customHeight="1">
      <c r="A613" s="30" t="s">
        <v>122</v>
      </c>
      <c r="B613" s="31"/>
      <c r="C613" s="31"/>
      <c r="D613" s="31"/>
      <c r="E613" s="31"/>
      <c r="F613" s="32"/>
      <c r="G613" s="1"/>
    </row>
    <row r="614" spans="1:7">
      <c r="A614" s="33"/>
      <c r="B614" s="33"/>
      <c r="C614" s="33"/>
      <c r="D614" s="33"/>
      <c r="E614" s="33"/>
      <c r="F614" s="33"/>
      <c r="G614" s="1"/>
    </row>
    <row r="615" spans="1:7">
      <c r="A615" s="15" t="s">
        <v>0</v>
      </c>
      <c r="B615" s="16"/>
      <c r="C615" s="16"/>
      <c r="D615" s="16"/>
      <c r="E615" s="16"/>
      <c r="F615" s="17"/>
      <c r="G615" s="1"/>
    </row>
    <row r="616" spans="1:7">
      <c r="A616" s="19" t="s">
        <v>1</v>
      </c>
      <c r="B616" s="19"/>
      <c r="C616" s="20"/>
      <c r="D616" s="19" t="s">
        <v>2</v>
      </c>
      <c r="E616" s="21" t="str">
        <f>E606</f>
        <v>.2083-03-09</v>
      </c>
      <c r="F616" s="22"/>
      <c r="G616" s="1"/>
    </row>
    <row r="617" spans="1:7">
      <c r="A617" s="19"/>
      <c r="B617" s="19"/>
      <c r="C617" s="23" t="s">
        <v>4</v>
      </c>
      <c r="D617" s="23" t="s">
        <v>5</v>
      </c>
      <c r="E617" s="24" t="s">
        <v>6</v>
      </c>
      <c r="F617" s="24" t="s">
        <v>7</v>
      </c>
      <c r="G617" s="1"/>
    </row>
    <row r="618" spans="1:7">
      <c r="A618" s="19"/>
      <c r="B618" s="19" t="s">
        <v>6</v>
      </c>
      <c r="C618" s="25" t="s">
        <v>8</v>
      </c>
      <c r="D618" s="19"/>
      <c r="E618" s="26">
        <v>26775</v>
      </c>
      <c r="F618" s="26"/>
      <c r="G618" s="1"/>
    </row>
    <row r="619" spans="1:7">
      <c r="A619" s="19"/>
      <c r="B619" s="19" t="s">
        <v>6</v>
      </c>
      <c r="C619" s="25" t="s">
        <v>9</v>
      </c>
      <c r="D619" s="19"/>
      <c r="E619" s="26">
        <v>4725</v>
      </c>
      <c r="F619" s="26"/>
      <c r="G619" s="1"/>
    </row>
    <row r="620" spans="1:7">
      <c r="A620" s="19"/>
      <c r="B620" s="19" t="s">
        <v>6</v>
      </c>
      <c r="C620" s="25" t="s">
        <v>10</v>
      </c>
      <c r="D620" s="19"/>
      <c r="E620" s="26">
        <v>338</v>
      </c>
      <c r="F620" s="26"/>
      <c r="G620" s="1"/>
    </row>
    <row r="621" spans="1:7">
      <c r="A621" s="19"/>
      <c r="B621" s="19" t="s">
        <v>7</v>
      </c>
      <c r="C621" s="27" t="s">
        <v>11</v>
      </c>
      <c r="D621" s="19"/>
      <c r="E621" s="26"/>
      <c r="F621" s="26">
        <f>E622</f>
        <v>31838</v>
      </c>
      <c r="G621" s="1"/>
    </row>
    <row r="622" spans="1:7">
      <c r="A622" s="28"/>
      <c r="B622" s="28"/>
      <c r="C622" s="28"/>
      <c r="D622" s="28"/>
      <c r="E622" s="29">
        <f>SUM(E618:E621)</f>
        <v>31838</v>
      </c>
      <c r="F622" s="29">
        <f>SUM(F618:F621)</f>
        <v>31838</v>
      </c>
      <c r="G622" s="1"/>
    </row>
    <row r="623" spans="1:7" ht="14.4" customHeight="1">
      <c r="A623" s="30" t="str">
        <f>A613</f>
        <v>Being Expenses paid via cheque no. 77483719.</v>
      </c>
      <c r="B623" s="31"/>
      <c r="C623" s="31"/>
      <c r="D623" s="31"/>
      <c r="E623" s="31"/>
      <c r="F623" s="32"/>
      <c r="G623" s="1"/>
    </row>
    <row r="624" spans="1:7">
      <c r="A624" s="33"/>
      <c r="B624" s="33"/>
      <c r="C624" s="33"/>
      <c r="D624" s="33"/>
      <c r="E624" s="33"/>
      <c r="F624" s="33"/>
      <c r="G624" s="1"/>
    </row>
    <row r="625" spans="1:7">
      <c r="A625" s="15" t="s">
        <v>0</v>
      </c>
      <c r="B625" s="16"/>
      <c r="C625" s="16"/>
      <c r="D625" s="16"/>
      <c r="E625" s="16"/>
      <c r="F625" s="17"/>
      <c r="G625" s="1"/>
    </row>
    <row r="626" spans="1:7">
      <c r="A626" s="19" t="s">
        <v>1</v>
      </c>
      <c r="B626" s="19"/>
      <c r="C626" s="20"/>
      <c r="D626" s="19" t="s">
        <v>2</v>
      </c>
      <c r="E626" s="21" t="str">
        <f>E616</f>
        <v>.2083-03-09</v>
      </c>
      <c r="F626" s="22"/>
      <c r="G626" s="1"/>
    </row>
    <row r="627" spans="1:7">
      <c r="A627" s="19"/>
      <c r="B627" s="19"/>
      <c r="C627" s="23" t="s">
        <v>4</v>
      </c>
      <c r="D627" s="23" t="s">
        <v>5</v>
      </c>
      <c r="E627" s="24" t="s">
        <v>6</v>
      </c>
      <c r="F627" s="24" t="s">
        <v>7</v>
      </c>
      <c r="G627" s="1"/>
    </row>
    <row r="628" spans="1:7">
      <c r="A628" s="19"/>
      <c r="B628" s="19" t="s">
        <v>6</v>
      </c>
      <c r="C628" s="25" t="s">
        <v>8</v>
      </c>
      <c r="D628" s="19"/>
      <c r="E628" s="26">
        <v>34425</v>
      </c>
      <c r="F628" s="26"/>
      <c r="G628" s="1"/>
    </row>
    <row r="629" spans="1:7">
      <c r="A629" s="19"/>
      <c r="B629" s="19" t="s">
        <v>6</v>
      </c>
      <c r="C629" s="25" t="s">
        <v>9</v>
      </c>
      <c r="D629" s="19"/>
      <c r="E629" s="26">
        <v>6075</v>
      </c>
      <c r="F629" s="26"/>
      <c r="G629" s="1"/>
    </row>
    <row r="630" spans="1:7">
      <c r="A630" s="19"/>
      <c r="B630" s="19" t="s">
        <v>6</v>
      </c>
      <c r="C630" s="25" t="s">
        <v>10</v>
      </c>
      <c r="D630" s="19"/>
      <c r="E630" s="26">
        <v>105</v>
      </c>
      <c r="F630" s="26"/>
      <c r="G630" s="1"/>
    </row>
    <row r="631" spans="1:7">
      <c r="A631" s="19"/>
      <c r="B631" s="19" t="s">
        <v>7</v>
      </c>
      <c r="C631" s="27" t="s">
        <v>11</v>
      </c>
      <c r="D631" s="19"/>
      <c r="E631" s="26"/>
      <c r="F631" s="26">
        <f>E632</f>
        <v>40605</v>
      </c>
      <c r="G631" s="1"/>
    </row>
    <row r="632" spans="1:7">
      <c r="A632" s="28" t="s">
        <v>13</v>
      </c>
      <c r="B632" s="28"/>
      <c r="C632" s="28"/>
      <c r="D632" s="28"/>
      <c r="E632" s="29">
        <f>SUM(E628:E631)</f>
        <v>40605</v>
      </c>
      <c r="F632" s="29">
        <f>SUM(F628:F631)</f>
        <v>40605</v>
      </c>
      <c r="G632" s="1"/>
    </row>
    <row r="633" spans="1:7" ht="14.4" customHeight="1">
      <c r="A633" s="30" t="str">
        <f>A623</f>
        <v>Being Expenses paid via cheque no. 77483719.</v>
      </c>
      <c r="B633" s="31"/>
      <c r="C633" s="31"/>
      <c r="D633" s="31"/>
      <c r="E633" s="31"/>
      <c r="F633" s="32"/>
      <c r="G633" s="1"/>
    </row>
    <row r="634" spans="1:7">
      <c r="A634" s="33"/>
      <c r="B634" s="33"/>
      <c r="C634" s="33"/>
      <c r="D634" s="33"/>
      <c r="E634" s="33"/>
      <c r="F634" s="33"/>
      <c r="G634" s="1"/>
    </row>
    <row r="635" spans="1:7">
      <c r="A635" s="15" t="s">
        <v>0</v>
      </c>
      <c r="B635" s="16"/>
      <c r="C635" s="16"/>
      <c r="D635" s="16"/>
      <c r="E635" s="16"/>
      <c r="F635" s="17"/>
      <c r="G635" s="1"/>
    </row>
    <row r="636" spans="1:7">
      <c r="A636" s="19" t="s">
        <v>1</v>
      </c>
      <c r="B636" s="19"/>
      <c r="C636" s="20"/>
      <c r="D636" s="19" t="s">
        <v>2</v>
      </c>
      <c r="E636" s="21" t="str">
        <f>E626</f>
        <v>.2083-03-09</v>
      </c>
      <c r="F636" s="22"/>
      <c r="G636" s="1"/>
    </row>
    <row r="637" spans="1:7">
      <c r="A637" s="19"/>
      <c r="B637" s="19"/>
      <c r="C637" s="23" t="s">
        <v>4</v>
      </c>
      <c r="D637" s="23" t="s">
        <v>5</v>
      </c>
      <c r="E637" s="24" t="s">
        <v>6</v>
      </c>
      <c r="F637" s="24" t="s">
        <v>7</v>
      </c>
      <c r="G637" s="1"/>
    </row>
    <row r="638" spans="1:7">
      <c r="A638" s="19"/>
      <c r="B638" s="19" t="s">
        <v>6</v>
      </c>
      <c r="C638" s="25" t="s">
        <v>8</v>
      </c>
      <c r="D638" s="19"/>
      <c r="E638" s="26">
        <v>26775</v>
      </c>
      <c r="F638" s="26"/>
      <c r="G638" s="1"/>
    </row>
    <row r="639" spans="1:7">
      <c r="A639" s="19"/>
      <c r="B639" s="19" t="s">
        <v>6</v>
      </c>
      <c r="C639" s="25" t="s">
        <v>9</v>
      </c>
      <c r="D639" s="19"/>
      <c r="E639" s="26">
        <v>4725</v>
      </c>
      <c r="F639" s="26"/>
      <c r="G639" s="1"/>
    </row>
    <row r="640" spans="1:7">
      <c r="A640" s="19"/>
      <c r="B640" s="19" t="s">
        <v>6</v>
      </c>
      <c r="C640" s="25" t="s">
        <v>10</v>
      </c>
      <c r="D640" s="19"/>
      <c r="E640" s="26">
        <v>23</v>
      </c>
      <c r="F640" s="26"/>
      <c r="G640" s="1"/>
    </row>
    <row r="641" spans="1:7">
      <c r="A641" s="19"/>
      <c r="B641" s="19" t="s">
        <v>7</v>
      </c>
      <c r="C641" s="27" t="s">
        <v>11</v>
      </c>
      <c r="D641" s="19"/>
      <c r="E641" s="26"/>
      <c r="F641" s="26">
        <f>E642</f>
        <v>31523</v>
      </c>
      <c r="G641" s="1"/>
    </row>
    <row r="642" spans="1:7">
      <c r="A642" s="28"/>
      <c r="B642" s="28"/>
      <c r="C642" s="28"/>
      <c r="D642" s="28"/>
      <c r="E642" s="29">
        <f>SUM(E638:E641)</f>
        <v>31523</v>
      </c>
      <c r="F642" s="29">
        <f>SUM(F638:F641)</f>
        <v>31523</v>
      </c>
      <c r="G642" s="1"/>
    </row>
    <row r="643" spans="1:7" ht="14.4" customHeight="1">
      <c r="A643" s="30" t="str">
        <f>A633</f>
        <v>Being Expenses paid via cheque no. 77483719.</v>
      </c>
      <c r="B643" s="31"/>
      <c r="C643" s="31"/>
      <c r="D643" s="31"/>
      <c r="E643" s="31"/>
      <c r="F643" s="32"/>
      <c r="G643" s="1"/>
    </row>
    <row r="644" spans="1:7">
      <c r="A644" s="33"/>
      <c r="B644" s="33"/>
      <c r="C644" s="33"/>
      <c r="D644" s="33"/>
      <c r="E644" s="33"/>
      <c r="F644" s="33"/>
      <c r="G644" s="1"/>
    </row>
    <row r="645" spans="1:7">
      <c r="A645" s="15" t="s">
        <v>0</v>
      </c>
      <c r="B645" s="16"/>
      <c r="C645" s="16"/>
      <c r="D645" s="16"/>
      <c r="E645" s="16"/>
      <c r="F645" s="17"/>
      <c r="G645" s="1"/>
    </row>
    <row r="646" spans="1:7">
      <c r="A646" s="19" t="s">
        <v>1</v>
      </c>
      <c r="B646" s="19"/>
      <c r="C646" s="20"/>
      <c r="D646" s="19" t="s">
        <v>2</v>
      </c>
      <c r="E646" s="21" t="str">
        <f>E636</f>
        <v>.2083-03-09</v>
      </c>
      <c r="F646" s="22"/>
      <c r="G646" s="1"/>
    </row>
    <row r="647" spans="1:7">
      <c r="A647" s="19"/>
      <c r="B647" s="19"/>
      <c r="C647" s="23" t="s">
        <v>4</v>
      </c>
      <c r="D647" s="23" t="s">
        <v>5</v>
      </c>
      <c r="E647" s="24" t="s">
        <v>6</v>
      </c>
      <c r="F647" s="24" t="s">
        <v>7</v>
      </c>
      <c r="G647" s="1"/>
    </row>
    <row r="648" spans="1:7">
      <c r="A648" s="19"/>
      <c r="B648" s="19" t="s">
        <v>6</v>
      </c>
      <c r="C648" s="25" t="s">
        <v>8</v>
      </c>
      <c r="D648" s="19"/>
      <c r="E648" s="26">
        <v>26775</v>
      </c>
      <c r="F648" s="26"/>
      <c r="G648" s="1"/>
    </row>
    <row r="649" spans="1:7">
      <c r="A649" s="19"/>
      <c r="B649" s="19" t="s">
        <v>6</v>
      </c>
      <c r="C649" s="25" t="s">
        <v>9</v>
      </c>
      <c r="D649" s="19"/>
      <c r="E649" s="26">
        <v>4725</v>
      </c>
      <c r="F649" s="26"/>
      <c r="G649" s="1"/>
    </row>
    <row r="650" spans="1:7">
      <c r="A650" s="19"/>
      <c r="B650" s="19" t="s">
        <v>6</v>
      </c>
      <c r="C650" s="25" t="s">
        <v>10</v>
      </c>
      <c r="D650" s="19"/>
      <c r="E650" s="26">
        <v>55</v>
      </c>
      <c r="F650" s="26"/>
      <c r="G650" s="1"/>
    </row>
    <row r="651" spans="1:7">
      <c r="A651" s="19"/>
      <c r="B651" s="19" t="s">
        <v>7</v>
      </c>
      <c r="C651" s="27" t="s">
        <v>11</v>
      </c>
      <c r="D651" s="19"/>
      <c r="E651" s="26"/>
      <c r="F651" s="26">
        <f>E652</f>
        <v>31555</v>
      </c>
      <c r="G651" s="1"/>
    </row>
    <row r="652" spans="1:7">
      <c r="A652" s="28"/>
      <c r="B652" s="28"/>
      <c r="C652" s="28"/>
      <c r="D652" s="28"/>
      <c r="E652" s="29">
        <f>SUM(E648:E651)</f>
        <v>31555</v>
      </c>
      <c r="F652" s="29">
        <f>SUM(F648:F651)</f>
        <v>31555</v>
      </c>
      <c r="G652" s="1"/>
    </row>
    <row r="653" spans="1:7" ht="14.4" customHeight="1">
      <c r="A653" s="30" t="str">
        <f>A643</f>
        <v>Being Expenses paid via cheque no. 77483719.</v>
      </c>
      <c r="B653" s="31"/>
      <c r="C653" s="31"/>
      <c r="D653" s="31"/>
      <c r="E653" s="31"/>
      <c r="F653" s="32"/>
      <c r="G653" s="1"/>
    </row>
    <row r="654" spans="1:7">
      <c r="A654" s="33"/>
      <c r="B654" s="33"/>
      <c r="C654" s="33"/>
      <c r="D654" s="33"/>
      <c r="E654" s="33"/>
      <c r="F654" s="33"/>
      <c r="G654" s="1"/>
    </row>
    <row r="655" spans="1:7">
      <c r="A655" s="15" t="s">
        <v>0</v>
      </c>
      <c r="B655" s="16"/>
      <c r="C655" s="16"/>
      <c r="D655" s="16"/>
      <c r="E655" s="16"/>
      <c r="F655" s="17"/>
      <c r="G655" s="1"/>
    </row>
    <row r="656" spans="1:7">
      <c r="A656" s="19" t="s">
        <v>1</v>
      </c>
      <c r="B656" s="19"/>
      <c r="C656" s="20"/>
      <c r="D656" s="19" t="s">
        <v>2</v>
      </c>
      <c r="E656" s="21" t="str">
        <f>E646</f>
        <v>.2083-03-09</v>
      </c>
      <c r="F656" s="22"/>
      <c r="G656" s="1"/>
    </row>
    <row r="657" spans="1:7">
      <c r="A657" s="19"/>
      <c r="B657" s="19"/>
      <c r="C657" s="23" t="s">
        <v>4</v>
      </c>
      <c r="D657" s="23" t="s">
        <v>5</v>
      </c>
      <c r="E657" s="24" t="s">
        <v>6</v>
      </c>
      <c r="F657" s="24" t="s">
        <v>7</v>
      </c>
      <c r="G657" s="1"/>
    </row>
    <row r="658" spans="1:7">
      <c r="A658" s="19"/>
      <c r="B658" s="19" t="s">
        <v>6</v>
      </c>
      <c r="C658" s="25" t="s">
        <v>8</v>
      </c>
      <c r="D658" s="19"/>
      <c r="E658" s="26">
        <v>26775</v>
      </c>
      <c r="F658" s="26"/>
      <c r="G658" s="1"/>
    </row>
    <row r="659" spans="1:7">
      <c r="A659" s="19"/>
      <c r="B659" s="19" t="s">
        <v>6</v>
      </c>
      <c r="C659" s="25" t="s">
        <v>9</v>
      </c>
      <c r="D659" s="19"/>
      <c r="E659" s="26">
        <v>4725</v>
      </c>
      <c r="F659" s="26"/>
      <c r="G659" s="1"/>
    </row>
    <row r="660" spans="1:7">
      <c r="A660" s="19"/>
      <c r="B660" s="19" t="s">
        <v>6</v>
      </c>
      <c r="C660" s="25" t="s">
        <v>10</v>
      </c>
      <c r="D660" s="19"/>
      <c r="E660" s="26">
        <v>90</v>
      </c>
      <c r="F660" s="26"/>
      <c r="G660" s="1"/>
    </row>
    <row r="661" spans="1:7">
      <c r="A661" s="19"/>
      <c r="B661" s="19" t="s">
        <v>7</v>
      </c>
      <c r="C661" s="27" t="s">
        <v>11</v>
      </c>
      <c r="D661" s="19"/>
      <c r="E661" s="26"/>
      <c r="F661" s="26">
        <f>E662</f>
        <v>31590</v>
      </c>
      <c r="G661" s="1"/>
    </row>
    <row r="662" spans="1:7">
      <c r="A662" s="28"/>
      <c r="B662" s="28"/>
      <c r="C662" s="28"/>
      <c r="D662" s="28"/>
      <c r="E662" s="29">
        <f>SUM(E658:E661)</f>
        <v>31590</v>
      </c>
      <c r="F662" s="29">
        <f>SUM(F658:F661)</f>
        <v>31590</v>
      </c>
      <c r="G662" s="1"/>
    </row>
    <row r="663" spans="1:7" ht="14.4" customHeight="1">
      <c r="A663" s="30" t="str">
        <f>A653</f>
        <v>Being Expenses paid via cheque no. 77483719.</v>
      </c>
      <c r="B663" s="31"/>
      <c r="C663" s="31"/>
      <c r="D663" s="31"/>
      <c r="E663" s="31"/>
      <c r="F663" s="32"/>
      <c r="G663" s="1"/>
    </row>
    <row r="664" spans="1:7">
      <c r="A664" s="33"/>
      <c r="B664" s="33"/>
      <c r="C664" s="33"/>
      <c r="D664" s="33"/>
      <c r="E664" s="33"/>
      <c r="F664" s="33"/>
      <c r="G664" s="1"/>
    </row>
    <row r="665" spans="1:7">
      <c r="A665" s="15" t="s">
        <v>0</v>
      </c>
      <c r="B665" s="16"/>
      <c r="C665" s="16"/>
      <c r="D665" s="16"/>
      <c r="E665" s="16"/>
      <c r="F665" s="17"/>
      <c r="G665" s="1"/>
    </row>
    <row r="666" spans="1:7">
      <c r="A666" s="19" t="s">
        <v>1</v>
      </c>
      <c r="B666" s="19"/>
      <c r="C666" s="20"/>
      <c r="D666" s="19" t="s">
        <v>2</v>
      </c>
      <c r="E666" s="21" t="str">
        <f>E656</f>
        <v>.2083-03-09</v>
      </c>
      <c r="F666" s="22"/>
      <c r="G666" s="1"/>
    </row>
    <row r="667" spans="1:7">
      <c r="A667" s="19"/>
      <c r="B667" s="19"/>
      <c r="C667" s="23" t="s">
        <v>4</v>
      </c>
      <c r="D667" s="23" t="s">
        <v>5</v>
      </c>
      <c r="E667" s="24" t="s">
        <v>6</v>
      </c>
      <c r="F667" s="24" t="s">
        <v>7</v>
      </c>
      <c r="G667" s="1"/>
    </row>
    <row r="668" spans="1:7">
      <c r="A668" s="19"/>
      <c r="B668" s="19" t="s">
        <v>6</v>
      </c>
      <c r="C668" s="25" t="s">
        <v>8</v>
      </c>
      <c r="D668" s="19"/>
      <c r="E668" s="26">
        <v>26775</v>
      </c>
      <c r="F668" s="26"/>
      <c r="G668" s="1"/>
    </row>
    <row r="669" spans="1:7">
      <c r="A669" s="19"/>
      <c r="B669" s="19" t="s">
        <v>6</v>
      </c>
      <c r="C669" s="25" t="s">
        <v>9</v>
      </c>
      <c r="D669" s="19"/>
      <c r="E669" s="26">
        <v>4725</v>
      </c>
      <c r="F669" s="26"/>
      <c r="G669" s="1"/>
    </row>
    <row r="670" spans="1:7">
      <c r="A670" s="19"/>
      <c r="B670" s="19" t="s">
        <v>6</v>
      </c>
      <c r="C670" s="25" t="s">
        <v>10</v>
      </c>
      <c r="D670" s="19"/>
      <c r="E670" s="26">
        <v>117</v>
      </c>
      <c r="F670" s="26"/>
      <c r="G670" s="1"/>
    </row>
    <row r="671" spans="1:7">
      <c r="A671" s="19"/>
      <c r="B671" s="19" t="s">
        <v>7</v>
      </c>
      <c r="C671" s="27" t="s">
        <v>11</v>
      </c>
      <c r="D671" s="19"/>
      <c r="E671" s="26"/>
      <c r="F671" s="26">
        <f>E672</f>
        <v>31617</v>
      </c>
      <c r="G671" s="1"/>
    </row>
    <row r="672" spans="1:7">
      <c r="A672" s="28"/>
      <c r="B672" s="28"/>
      <c r="C672" s="28"/>
      <c r="D672" s="28"/>
      <c r="E672" s="29">
        <f>SUM(E668:E671)</f>
        <v>31617</v>
      </c>
      <c r="F672" s="29">
        <f>SUM(F668:F671)</f>
        <v>31617</v>
      </c>
      <c r="G672" s="1"/>
    </row>
    <row r="673" spans="1:7" ht="14.4" customHeight="1">
      <c r="A673" s="30" t="str">
        <f>A663</f>
        <v>Being Expenses paid via cheque no. 77483719.</v>
      </c>
      <c r="B673" s="31"/>
      <c r="C673" s="31"/>
      <c r="D673" s="31"/>
      <c r="E673" s="31"/>
      <c r="F673" s="32"/>
      <c r="G673" s="1"/>
    </row>
    <row r="674" spans="1:7">
      <c r="A674" s="33"/>
      <c r="B674" s="33"/>
      <c r="C674" s="33"/>
      <c r="D674" s="33"/>
      <c r="E674" s="33"/>
      <c r="F674" s="33"/>
      <c r="G674" s="1"/>
    </row>
    <row r="675" spans="1:7">
      <c r="A675" s="15" t="s">
        <v>0</v>
      </c>
      <c r="B675" s="16"/>
      <c r="C675" s="16"/>
      <c r="D675" s="16"/>
      <c r="E675" s="16"/>
      <c r="F675" s="17"/>
      <c r="G675" s="1"/>
    </row>
    <row r="676" spans="1:7">
      <c r="A676" s="19" t="s">
        <v>1</v>
      </c>
      <c r="B676" s="19"/>
      <c r="C676" s="20"/>
      <c r="D676" s="19" t="s">
        <v>2</v>
      </c>
      <c r="E676" s="21" t="str">
        <f>E666</f>
        <v>.2083-03-09</v>
      </c>
      <c r="F676" s="22"/>
      <c r="G676" s="1"/>
    </row>
    <row r="677" spans="1:7">
      <c r="A677" s="19"/>
      <c r="B677" s="19"/>
      <c r="C677" s="23" t="s">
        <v>4</v>
      </c>
      <c r="D677" s="23" t="s">
        <v>5</v>
      </c>
      <c r="E677" s="24" t="s">
        <v>6</v>
      </c>
      <c r="F677" s="24" t="s">
        <v>7</v>
      </c>
      <c r="G677" s="1"/>
    </row>
    <row r="678" spans="1:7">
      <c r="A678" s="19"/>
      <c r="B678" s="19" t="s">
        <v>6</v>
      </c>
      <c r="C678" s="25" t="s">
        <v>8</v>
      </c>
      <c r="D678" s="19"/>
      <c r="E678" s="26">
        <v>26775</v>
      </c>
      <c r="F678" s="26"/>
      <c r="G678" s="1"/>
    </row>
    <row r="679" spans="1:7">
      <c r="A679" s="19"/>
      <c r="B679" s="19" t="s">
        <v>6</v>
      </c>
      <c r="C679" s="25" t="s">
        <v>9</v>
      </c>
      <c r="D679" s="19"/>
      <c r="E679" s="26">
        <v>4725</v>
      </c>
      <c r="F679" s="26"/>
      <c r="G679" s="1"/>
    </row>
    <row r="680" spans="1:7">
      <c r="A680" s="19"/>
      <c r="B680" s="19" t="s">
        <v>6</v>
      </c>
      <c r="C680" s="25" t="s">
        <v>10</v>
      </c>
      <c r="D680" s="19"/>
      <c r="E680" s="26">
        <v>67</v>
      </c>
      <c r="F680" s="26"/>
      <c r="G680" s="1"/>
    </row>
    <row r="681" spans="1:7">
      <c r="A681" s="19"/>
      <c r="B681" s="19" t="s">
        <v>7</v>
      </c>
      <c r="C681" s="27" t="s">
        <v>11</v>
      </c>
      <c r="D681" s="19"/>
      <c r="E681" s="26"/>
      <c r="F681" s="26">
        <f>E682</f>
        <v>31567</v>
      </c>
      <c r="G681" s="1"/>
    </row>
    <row r="682" spans="1:7">
      <c r="A682" s="28"/>
      <c r="B682" s="28"/>
      <c r="C682" s="28"/>
      <c r="D682" s="28"/>
      <c r="E682" s="29">
        <f>SUM(E678:E681)</f>
        <v>31567</v>
      </c>
      <c r="F682" s="29">
        <f>SUM(F678:F681)</f>
        <v>31567</v>
      </c>
      <c r="G682" s="1"/>
    </row>
    <row r="683" spans="1:7" ht="14.4" customHeight="1">
      <c r="A683" s="30" t="str">
        <f>A673</f>
        <v>Being Expenses paid via cheque no. 77483719.</v>
      </c>
      <c r="B683" s="31"/>
      <c r="C683" s="31"/>
      <c r="D683" s="31"/>
      <c r="E683" s="31"/>
      <c r="F683" s="32"/>
      <c r="G683" s="1"/>
    </row>
    <row r="684" spans="1:7">
      <c r="A684" s="33"/>
      <c r="B684" s="33"/>
      <c r="C684" s="33"/>
      <c r="D684" s="33"/>
      <c r="E684" s="33"/>
      <c r="F684" s="33"/>
      <c r="G684" s="1"/>
    </row>
    <row r="685" spans="1:7">
      <c r="A685" s="15" t="s">
        <v>0</v>
      </c>
      <c r="B685" s="16"/>
      <c r="C685" s="16"/>
      <c r="D685" s="16"/>
      <c r="E685" s="16"/>
      <c r="F685" s="17"/>
      <c r="G685" s="1"/>
    </row>
    <row r="686" spans="1:7">
      <c r="A686" s="19" t="s">
        <v>1</v>
      </c>
      <c r="B686" s="19"/>
      <c r="C686" s="20"/>
      <c r="D686" s="19" t="s">
        <v>2</v>
      </c>
      <c r="E686" s="21" t="str">
        <f>E676</f>
        <v>.2083-03-09</v>
      </c>
      <c r="F686" s="22"/>
      <c r="G686" s="1"/>
    </row>
    <row r="687" spans="1:7">
      <c r="A687" s="19"/>
      <c r="B687" s="19"/>
      <c r="C687" s="23" t="s">
        <v>4</v>
      </c>
      <c r="D687" s="23" t="s">
        <v>5</v>
      </c>
      <c r="E687" s="24" t="s">
        <v>6</v>
      </c>
      <c r="F687" s="24" t="s">
        <v>7</v>
      </c>
      <c r="G687" s="1"/>
    </row>
    <row r="688" spans="1:7">
      <c r="A688" s="19"/>
      <c r="B688" s="19" t="s">
        <v>6</v>
      </c>
      <c r="C688" s="25" t="s">
        <v>8</v>
      </c>
      <c r="D688" s="19"/>
      <c r="E688" s="26">
        <v>26775</v>
      </c>
      <c r="F688" s="26"/>
      <c r="G688" s="1"/>
    </row>
    <row r="689" spans="1:7">
      <c r="A689" s="19"/>
      <c r="B689" s="19" t="s">
        <v>6</v>
      </c>
      <c r="C689" s="25" t="s">
        <v>9</v>
      </c>
      <c r="D689" s="19"/>
      <c r="E689" s="26">
        <v>4725</v>
      </c>
      <c r="F689" s="26"/>
      <c r="G689" s="1"/>
    </row>
    <row r="690" spans="1:7">
      <c r="A690" s="19"/>
      <c r="B690" s="19" t="s">
        <v>6</v>
      </c>
      <c r="C690" s="25" t="s">
        <v>10</v>
      </c>
      <c r="D690" s="19"/>
      <c r="E690" s="26">
        <v>334</v>
      </c>
      <c r="F690" s="26"/>
      <c r="G690" s="1"/>
    </row>
    <row r="691" spans="1:7">
      <c r="A691" s="19"/>
      <c r="B691" s="19" t="s">
        <v>7</v>
      </c>
      <c r="C691" s="27" t="s">
        <v>11</v>
      </c>
      <c r="D691" s="19"/>
      <c r="E691" s="26"/>
      <c r="F691" s="26">
        <f>E692</f>
        <v>31834</v>
      </c>
      <c r="G691" s="1"/>
    </row>
    <row r="692" spans="1:7">
      <c r="A692" s="28"/>
      <c r="B692" s="28"/>
      <c r="C692" s="28"/>
      <c r="D692" s="28"/>
      <c r="E692" s="29">
        <f>SUM(E688:E691)</f>
        <v>31834</v>
      </c>
      <c r="F692" s="29">
        <f>SUM(F688:F691)</f>
        <v>31834</v>
      </c>
      <c r="G692" s="1"/>
    </row>
    <row r="693" spans="1:7" ht="14.4" customHeight="1">
      <c r="A693" s="30" t="str">
        <f>A683</f>
        <v>Being Expenses paid via cheque no. 77483719.</v>
      </c>
      <c r="B693" s="31"/>
      <c r="C693" s="31"/>
      <c r="D693" s="31"/>
      <c r="E693" s="31"/>
      <c r="F693" s="32"/>
      <c r="G693" s="1"/>
    </row>
    <row r="694" spans="1:7">
      <c r="A694" s="33"/>
      <c r="B694" s="33"/>
      <c r="C694" s="33"/>
      <c r="D694" s="33"/>
      <c r="E694" s="33"/>
      <c r="F694" s="33"/>
      <c r="G694" s="1"/>
    </row>
    <row r="695" spans="1:7">
      <c r="A695" s="15" t="s">
        <v>0</v>
      </c>
      <c r="B695" s="16"/>
      <c r="C695" s="16"/>
      <c r="D695" s="16"/>
      <c r="E695" s="16"/>
      <c r="F695" s="17"/>
      <c r="G695" s="1"/>
    </row>
    <row r="696" spans="1:7">
      <c r="A696" s="19" t="s">
        <v>1</v>
      </c>
      <c r="B696" s="19"/>
      <c r="C696" s="20"/>
      <c r="D696" s="19" t="s">
        <v>2</v>
      </c>
      <c r="E696" s="21" t="str">
        <f>E686</f>
        <v>.2083-03-09</v>
      </c>
      <c r="F696" s="22"/>
      <c r="G696" s="1"/>
    </row>
    <row r="697" spans="1:7">
      <c r="A697" s="19"/>
      <c r="B697" s="19"/>
      <c r="C697" s="23" t="s">
        <v>4</v>
      </c>
      <c r="D697" s="23" t="s">
        <v>5</v>
      </c>
      <c r="E697" s="24" t="s">
        <v>6</v>
      </c>
      <c r="F697" s="24" t="s">
        <v>7</v>
      </c>
      <c r="G697" s="1"/>
    </row>
    <row r="698" spans="1:7">
      <c r="A698" s="19"/>
      <c r="B698" s="19" t="s">
        <v>6</v>
      </c>
      <c r="C698" s="25" t="s">
        <v>8</v>
      </c>
      <c r="D698" s="19"/>
      <c r="E698" s="26">
        <v>26775</v>
      </c>
      <c r="F698" s="26"/>
      <c r="G698" s="1"/>
    </row>
    <row r="699" spans="1:7">
      <c r="A699" s="19"/>
      <c r="B699" s="19" t="s">
        <v>6</v>
      </c>
      <c r="C699" s="25" t="s">
        <v>9</v>
      </c>
      <c r="D699" s="19"/>
      <c r="E699" s="26">
        <v>4725</v>
      </c>
      <c r="F699" s="26"/>
      <c r="G699" s="1"/>
    </row>
    <row r="700" spans="1:7">
      <c r="A700" s="19"/>
      <c r="B700" s="19" t="s">
        <v>6</v>
      </c>
      <c r="C700" s="25" t="s">
        <v>10</v>
      </c>
      <c r="D700" s="19"/>
      <c r="E700" s="26">
        <v>637</v>
      </c>
      <c r="F700" s="26"/>
      <c r="G700" s="1"/>
    </row>
    <row r="701" spans="1:7">
      <c r="A701" s="19"/>
      <c r="B701" s="19" t="s">
        <v>7</v>
      </c>
      <c r="C701" s="27" t="s">
        <v>11</v>
      </c>
      <c r="D701" s="19"/>
      <c r="E701" s="26"/>
      <c r="F701" s="26">
        <f>E702</f>
        <v>32137</v>
      </c>
      <c r="G701" s="1"/>
    </row>
    <row r="702" spans="1:7">
      <c r="A702" s="28"/>
      <c r="B702" s="28"/>
      <c r="C702" s="28"/>
      <c r="D702" s="28"/>
      <c r="E702" s="29">
        <f>SUM(E698:E701)</f>
        <v>32137</v>
      </c>
      <c r="F702" s="29">
        <f>SUM(F698:F701)</f>
        <v>32137</v>
      </c>
      <c r="G702" s="1"/>
    </row>
    <row r="703" spans="1:7" ht="14.4" customHeight="1">
      <c r="A703" s="30" t="str">
        <f>A693</f>
        <v>Being Expenses paid via cheque no. 77483719.</v>
      </c>
      <c r="B703" s="31"/>
      <c r="C703" s="31"/>
      <c r="D703" s="31"/>
      <c r="E703" s="31"/>
      <c r="F703" s="32"/>
      <c r="G703" s="1"/>
    </row>
    <row r="704" spans="1:7">
      <c r="A704" s="33"/>
      <c r="B704" s="33"/>
      <c r="C704" s="33"/>
      <c r="D704" s="33"/>
      <c r="E704" s="33"/>
      <c r="F704" s="33"/>
      <c r="G704" s="1"/>
    </row>
    <row r="705" spans="1:7">
      <c r="A705" s="15" t="s">
        <v>0</v>
      </c>
      <c r="B705" s="16"/>
      <c r="C705" s="16"/>
      <c r="D705" s="16"/>
      <c r="E705" s="16"/>
      <c r="F705" s="17"/>
      <c r="G705" s="1"/>
    </row>
    <row r="706" spans="1:7">
      <c r="A706" s="19" t="s">
        <v>1</v>
      </c>
      <c r="B706" s="19"/>
      <c r="C706" s="20"/>
      <c r="D706" s="19" t="s">
        <v>2</v>
      </c>
      <c r="E706" s="21" t="str">
        <f>E696</f>
        <v>.2083-03-09</v>
      </c>
      <c r="F706" s="22"/>
      <c r="G706" s="1"/>
    </row>
    <row r="707" spans="1:7">
      <c r="A707" s="19"/>
      <c r="B707" s="19"/>
      <c r="C707" s="23" t="s">
        <v>4</v>
      </c>
      <c r="D707" s="23" t="s">
        <v>5</v>
      </c>
      <c r="E707" s="24" t="s">
        <v>6</v>
      </c>
      <c r="F707" s="24" t="s">
        <v>7</v>
      </c>
      <c r="G707" s="1"/>
    </row>
    <row r="708" spans="1:7">
      <c r="A708" s="19"/>
      <c r="B708" s="19" t="s">
        <v>6</v>
      </c>
      <c r="C708" s="25" t="s">
        <v>8</v>
      </c>
      <c r="D708" s="19"/>
      <c r="E708" s="26">
        <v>26775</v>
      </c>
      <c r="F708" s="26"/>
      <c r="G708" s="1"/>
    </row>
    <row r="709" spans="1:7">
      <c r="A709" s="19"/>
      <c r="B709" s="19" t="s">
        <v>6</v>
      </c>
      <c r="C709" s="25" t="s">
        <v>9</v>
      </c>
      <c r="D709" s="19"/>
      <c r="E709" s="26">
        <v>4725</v>
      </c>
      <c r="F709" s="26"/>
      <c r="G709" s="1"/>
    </row>
    <row r="710" spans="1:7">
      <c r="A710" s="19"/>
      <c r="B710" s="19" t="s">
        <v>6</v>
      </c>
      <c r="C710" s="25" t="s">
        <v>10</v>
      </c>
      <c r="D710" s="19"/>
      <c r="E710" s="26">
        <v>46</v>
      </c>
      <c r="F710" s="26"/>
      <c r="G710" s="1"/>
    </row>
    <row r="711" spans="1:7">
      <c r="A711" s="19"/>
      <c r="B711" s="19" t="s">
        <v>7</v>
      </c>
      <c r="C711" s="27" t="s">
        <v>11</v>
      </c>
      <c r="D711" s="19"/>
      <c r="E711" s="26"/>
      <c r="F711" s="26">
        <f>E712</f>
        <v>31546</v>
      </c>
      <c r="G711" s="1"/>
    </row>
    <row r="712" spans="1:7">
      <c r="A712" s="28"/>
      <c r="B712" s="28"/>
      <c r="C712" s="28"/>
      <c r="D712" s="28"/>
      <c r="E712" s="29">
        <f>SUM(E708:E711)</f>
        <v>31546</v>
      </c>
      <c r="F712" s="29">
        <f>SUM(F708:F711)</f>
        <v>31546</v>
      </c>
      <c r="G712" s="1"/>
    </row>
    <row r="713" spans="1:7" ht="14.4" customHeight="1">
      <c r="A713" s="30" t="str">
        <f>A703</f>
        <v>Being Expenses paid via cheque no. 77483719.</v>
      </c>
      <c r="B713" s="31"/>
      <c r="C713" s="31"/>
      <c r="D713" s="31"/>
      <c r="E713" s="31"/>
      <c r="F713" s="32"/>
      <c r="G713" s="1"/>
    </row>
    <row r="714" spans="1:7">
      <c r="A714" s="33"/>
      <c r="B714" s="33"/>
      <c r="C714" s="33"/>
      <c r="D714" s="33"/>
      <c r="E714" s="33"/>
      <c r="F714" s="33"/>
      <c r="G714" s="1"/>
    </row>
    <row r="715" spans="1:7">
      <c r="A715" s="15" t="s">
        <v>0</v>
      </c>
      <c r="B715" s="16"/>
      <c r="C715" s="16"/>
      <c r="D715" s="16"/>
      <c r="E715" s="16"/>
      <c r="F715" s="17"/>
      <c r="G715" s="1"/>
    </row>
    <row r="716" spans="1:7">
      <c r="A716" s="19" t="s">
        <v>1</v>
      </c>
      <c r="B716" s="19"/>
      <c r="C716" s="20"/>
      <c r="D716" s="19" t="s">
        <v>2</v>
      </c>
      <c r="E716" s="21" t="str">
        <f>E706</f>
        <v>.2083-03-09</v>
      </c>
      <c r="F716" s="22"/>
      <c r="G716" s="1"/>
    </row>
    <row r="717" spans="1:7">
      <c r="A717" s="19"/>
      <c r="B717" s="19"/>
      <c r="C717" s="23" t="s">
        <v>4</v>
      </c>
      <c r="D717" s="23" t="s">
        <v>5</v>
      </c>
      <c r="E717" s="24" t="s">
        <v>6</v>
      </c>
      <c r="F717" s="24" t="s">
        <v>7</v>
      </c>
      <c r="G717" s="1"/>
    </row>
    <row r="718" spans="1:7">
      <c r="A718" s="19"/>
      <c r="B718" s="19" t="s">
        <v>6</v>
      </c>
      <c r="C718" s="25" t="s">
        <v>8</v>
      </c>
      <c r="D718" s="19"/>
      <c r="E718" s="26">
        <v>34425</v>
      </c>
      <c r="F718" s="26"/>
      <c r="G718" s="1"/>
    </row>
    <row r="719" spans="1:7">
      <c r="A719" s="19"/>
      <c r="B719" s="19" t="s">
        <v>6</v>
      </c>
      <c r="C719" s="25" t="s">
        <v>9</v>
      </c>
      <c r="D719" s="19"/>
      <c r="E719" s="26">
        <v>6075</v>
      </c>
      <c r="F719" s="26"/>
      <c r="G719" s="1"/>
    </row>
    <row r="720" spans="1:7">
      <c r="A720" s="19"/>
      <c r="B720" s="19" t="s">
        <v>6</v>
      </c>
      <c r="C720" s="25" t="s">
        <v>10</v>
      </c>
      <c r="D720" s="19"/>
      <c r="E720" s="26">
        <v>75</v>
      </c>
      <c r="F720" s="26"/>
      <c r="G720" s="1"/>
    </row>
    <row r="721" spans="1:8">
      <c r="A721" s="19"/>
      <c r="B721" s="19" t="s">
        <v>7</v>
      </c>
      <c r="C721" s="27" t="s">
        <v>11</v>
      </c>
      <c r="D721" s="19"/>
      <c r="E721" s="26"/>
      <c r="F721" s="26">
        <f>E722</f>
        <v>40575</v>
      </c>
      <c r="G721" s="1"/>
    </row>
    <row r="722" spans="1:8">
      <c r="A722" s="28"/>
      <c r="B722" s="28"/>
      <c r="C722" s="28"/>
      <c r="D722" s="28"/>
      <c r="E722" s="29">
        <f>SUM(E718:E721)</f>
        <v>40575</v>
      </c>
      <c r="F722" s="29">
        <f>SUM(F718:F721)</f>
        <v>40575</v>
      </c>
      <c r="G722" s="1"/>
    </row>
    <row r="723" spans="1:8" ht="14.4" customHeight="1">
      <c r="A723" s="30" t="str">
        <f>A713</f>
        <v>Being Expenses paid via cheque no. 77483719.</v>
      </c>
      <c r="B723" s="31"/>
      <c r="C723" s="31"/>
      <c r="D723" s="31"/>
      <c r="E723" s="31"/>
      <c r="F723" s="32"/>
      <c r="G723" s="1"/>
    </row>
    <row r="725" spans="1:8">
      <c r="A725" s="47" t="s">
        <v>0</v>
      </c>
      <c r="B725" s="48"/>
      <c r="C725" s="48"/>
      <c r="D725" s="48"/>
      <c r="E725" s="48"/>
      <c r="F725" s="49"/>
      <c r="G725" s="7"/>
    </row>
    <row r="726" spans="1:8">
      <c r="A726" s="50" t="s">
        <v>1</v>
      </c>
      <c r="B726" s="50"/>
      <c r="C726" s="51"/>
      <c r="D726" s="50" t="s">
        <v>2</v>
      </c>
      <c r="E726" s="8" t="s">
        <v>121</v>
      </c>
      <c r="F726" s="9"/>
      <c r="G726" s="7"/>
    </row>
    <row r="727" spans="1:8">
      <c r="A727" s="50"/>
      <c r="B727" s="50"/>
      <c r="C727" s="52" t="s">
        <v>4</v>
      </c>
      <c r="D727" s="52" t="s">
        <v>5</v>
      </c>
      <c r="E727" s="10" t="s">
        <v>6</v>
      </c>
      <c r="F727" s="10" t="s">
        <v>7</v>
      </c>
      <c r="G727" s="7"/>
    </row>
    <row r="728" spans="1:8">
      <c r="A728" s="50"/>
      <c r="B728" s="50" t="s">
        <v>6</v>
      </c>
      <c r="C728" s="27" t="s">
        <v>18</v>
      </c>
      <c r="D728" s="50"/>
      <c r="E728" s="11">
        <v>4735.7</v>
      </c>
      <c r="F728" s="11"/>
      <c r="G728" s="7"/>
    </row>
    <row r="729" spans="1:8">
      <c r="A729" s="50"/>
      <c r="B729" s="50" t="s">
        <v>6</v>
      </c>
      <c r="C729" s="27" t="s">
        <v>19</v>
      </c>
      <c r="D729" s="50"/>
      <c r="E729" s="11">
        <v>8500</v>
      </c>
      <c r="F729" s="11"/>
      <c r="G729" s="7"/>
    </row>
    <row r="730" spans="1:8">
      <c r="A730" s="50"/>
      <c r="B730" s="50" t="s">
        <v>6</v>
      </c>
      <c r="C730" s="27" t="s">
        <v>20</v>
      </c>
      <c r="D730" s="50"/>
      <c r="E730" s="11">
        <v>14545</v>
      </c>
      <c r="F730" s="11"/>
      <c r="G730" s="7"/>
    </row>
    <row r="731" spans="1:8">
      <c r="A731" s="50"/>
      <c r="B731" s="50" t="s">
        <v>7</v>
      </c>
      <c r="C731" s="27" t="s">
        <v>21</v>
      </c>
      <c r="D731" s="50"/>
      <c r="E731" s="11"/>
      <c r="F731" s="11">
        <v>62.86</v>
      </c>
      <c r="G731" s="7"/>
    </row>
    <row r="732" spans="1:8">
      <c r="A732" s="50"/>
      <c r="B732" s="50" t="s">
        <v>7</v>
      </c>
      <c r="C732" s="27" t="s">
        <v>22</v>
      </c>
      <c r="D732" s="50"/>
      <c r="E732" s="11"/>
      <c r="F732" s="11">
        <v>978</v>
      </c>
      <c r="G732" s="7"/>
    </row>
    <row r="733" spans="1:8">
      <c r="A733" s="50"/>
      <c r="B733" s="50" t="s">
        <v>7</v>
      </c>
      <c r="C733" s="27" t="s">
        <v>23</v>
      </c>
      <c r="D733" s="50"/>
      <c r="E733" s="11"/>
      <c r="F733" s="11">
        <v>145</v>
      </c>
      <c r="G733" s="7"/>
    </row>
    <row r="734" spans="1:8">
      <c r="A734" s="50"/>
      <c r="B734" s="50" t="s">
        <v>7</v>
      </c>
      <c r="C734" s="27" t="s">
        <v>49</v>
      </c>
      <c r="D734" s="50"/>
      <c r="E734" s="11"/>
      <c r="F734" s="11">
        <v>685.73</v>
      </c>
      <c r="G734" s="53">
        <f>F734/1.115</f>
        <v>615.0044843049327</v>
      </c>
      <c r="H734" s="53"/>
    </row>
    <row r="735" spans="1:8">
      <c r="A735" s="50"/>
      <c r="B735" s="50" t="s">
        <v>7</v>
      </c>
      <c r="C735" s="27" t="s">
        <v>48</v>
      </c>
      <c r="D735" s="50"/>
      <c r="E735" s="11"/>
      <c r="F735" s="11">
        <v>590.95000000000005</v>
      </c>
      <c r="G735" s="53">
        <f t="shared" ref="G735:G740" si="3">F735/1.115</f>
        <v>530</v>
      </c>
      <c r="H735" s="53"/>
    </row>
    <row r="736" spans="1:8">
      <c r="A736" s="50"/>
      <c r="B736" s="50" t="s">
        <v>7</v>
      </c>
      <c r="C736" s="27" t="s">
        <v>50</v>
      </c>
      <c r="D736" s="50"/>
      <c r="E736" s="11"/>
      <c r="F736" s="11">
        <v>892</v>
      </c>
      <c r="G736" s="53">
        <f t="shared" si="3"/>
        <v>800</v>
      </c>
      <c r="H736" s="53"/>
    </row>
    <row r="737" spans="1:8">
      <c r="A737" s="50"/>
      <c r="B737" s="50" t="s">
        <v>7</v>
      </c>
      <c r="C737" s="27" t="s">
        <v>57</v>
      </c>
      <c r="D737" s="50"/>
      <c r="E737" s="11"/>
      <c r="F737" s="11">
        <v>335.49</v>
      </c>
      <c r="G737" s="53">
        <f t="shared" si="3"/>
        <v>300.88789237668163</v>
      </c>
      <c r="H737" s="53"/>
    </row>
    <row r="738" spans="1:8">
      <c r="A738" s="50"/>
      <c r="B738" s="50" t="s">
        <v>7</v>
      </c>
      <c r="C738" s="27" t="s">
        <v>73</v>
      </c>
      <c r="D738" s="50"/>
      <c r="E738" s="11"/>
      <c r="F738" s="11">
        <v>551.91999999999996</v>
      </c>
      <c r="G738" s="53">
        <f t="shared" si="3"/>
        <v>494.99551569506724</v>
      </c>
      <c r="H738" s="53"/>
    </row>
    <row r="739" spans="1:8">
      <c r="A739" s="50"/>
      <c r="B739" s="50" t="s">
        <v>7</v>
      </c>
      <c r="C739" s="27" t="s">
        <v>53</v>
      </c>
      <c r="D739" s="50"/>
      <c r="E739" s="11"/>
      <c r="F739" s="11">
        <v>1115</v>
      </c>
      <c r="G739" s="53">
        <f t="shared" si="3"/>
        <v>1000</v>
      </c>
      <c r="H739" s="53"/>
    </row>
    <row r="740" spans="1:8">
      <c r="A740" s="50"/>
      <c r="B740" s="50" t="s">
        <v>7</v>
      </c>
      <c r="C740" s="27" t="s">
        <v>24</v>
      </c>
      <c r="D740" s="50"/>
      <c r="E740" s="11"/>
      <c r="F740" s="11">
        <v>501.75</v>
      </c>
      <c r="G740" s="53">
        <f t="shared" si="3"/>
        <v>450</v>
      </c>
      <c r="H740" s="53"/>
    </row>
    <row r="741" spans="1:8">
      <c r="A741" s="50"/>
      <c r="B741" s="50" t="s">
        <v>25</v>
      </c>
      <c r="C741" s="27" t="s">
        <v>26</v>
      </c>
      <c r="D741" s="50"/>
      <c r="E741" s="11"/>
      <c r="F741" s="11">
        <v>21922</v>
      </c>
      <c r="G741" s="7"/>
    </row>
    <row r="742" spans="1:8">
      <c r="A742" s="54"/>
      <c r="B742" s="54"/>
      <c r="C742" s="54"/>
      <c r="D742" s="54"/>
      <c r="E742" s="12">
        <f>SUM(E728:E741)</f>
        <v>27780.7</v>
      </c>
      <c r="F742" s="12">
        <f>SUM(F728:F741)</f>
        <v>27780.7</v>
      </c>
      <c r="G742" s="7">
        <f>E742-F742</f>
        <v>0</v>
      </c>
    </row>
    <row r="743" spans="1:8">
      <c r="A743" s="43" t="s">
        <v>27</v>
      </c>
      <c r="B743" s="44"/>
      <c r="C743" s="44"/>
      <c r="D743" s="44"/>
      <c r="E743" s="44"/>
      <c r="F743" s="45"/>
      <c r="G743" s="7"/>
    </row>
    <row r="745" spans="1:8">
      <c r="A745" s="47" t="s">
        <v>0</v>
      </c>
      <c r="B745" s="48"/>
      <c r="C745" s="48"/>
      <c r="D745" s="48"/>
      <c r="E745" s="48"/>
      <c r="F745" s="49"/>
      <c r="G745" s="7"/>
    </row>
    <row r="746" spans="1:8">
      <c r="A746" s="50" t="s">
        <v>1</v>
      </c>
      <c r="B746" s="50"/>
      <c r="C746" s="51"/>
      <c r="D746" s="50" t="s">
        <v>2</v>
      </c>
      <c r="E746" s="8" t="s">
        <v>123</v>
      </c>
      <c r="F746" s="9"/>
      <c r="G746" s="7"/>
    </row>
    <row r="747" spans="1:8">
      <c r="A747" s="50"/>
      <c r="B747" s="50"/>
      <c r="C747" s="52" t="s">
        <v>4</v>
      </c>
      <c r="D747" s="52" t="s">
        <v>5</v>
      </c>
      <c r="E747" s="10" t="s">
        <v>6</v>
      </c>
      <c r="F747" s="10" t="s">
        <v>7</v>
      </c>
      <c r="G747" s="7"/>
    </row>
    <row r="748" spans="1:8">
      <c r="A748" s="50"/>
      <c r="B748" s="50" t="s">
        <v>6</v>
      </c>
      <c r="C748" s="27" t="s">
        <v>47</v>
      </c>
      <c r="D748" s="50"/>
      <c r="E748" s="11">
        <v>320</v>
      </c>
      <c r="F748" s="11"/>
      <c r="G748" s="7" t="s">
        <v>64</v>
      </c>
    </row>
    <row r="749" spans="1:8">
      <c r="A749" s="50"/>
      <c r="B749" s="50" t="s">
        <v>6</v>
      </c>
      <c r="C749" s="27" t="s">
        <v>47</v>
      </c>
      <c r="D749" s="50"/>
      <c r="E749" s="11">
        <v>150</v>
      </c>
      <c r="F749" s="11"/>
      <c r="G749" s="7" t="s">
        <v>124</v>
      </c>
    </row>
    <row r="750" spans="1:8">
      <c r="A750" s="50"/>
      <c r="B750" s="50" t="s">
        <v>6</v>
      </c>
      <c r="C750" s="27" t="s">
        <v>65</v>
      </c>
      <c r="D750" s="50"/>
      <c r="E750" s="11">
        <v>655</v>
      </c>
      <c r="F750" s="11"/>
      <c r="G750" s="7" t="s">
        <v>125</v>
      </c>
    </row>
    <row r="751" spans="1:8">
      <c r="A751" s="50"/>
      <c r="B751" s="50" t="s">
        <v>6</v>
      </c>
      <c r="C751" s="27" t="s">
        <v>126</v>
      </c>
      <c r="D751" s="50"/>
      <c r="E751" s="11">
        <v>500</v>
      </c>
      <c r="F751" s="11"/>
      <c r="G751" s="7"/>
    </row>
    <row r="752" spans="1:8">
      <c r="A752" s="50"/>
      <c r="B752" s="50" t="s">
        <v>6</v>
      </c>
      <c r="C752" s="27" t="s">
        <v>126</v>
      </c>
      <c r="D752" s="50"/>
      <c r="E752" s="11">
        <v>4340</v>
      </c>
      <c r="F752" s="11"/>
      <c r="G752" s="7"/>
    </row>
    <row r="753" spans="1:7">
      <c r="A753" s="50"/>
      <c r="B753" s="50" t="s">
        <v>6</v>
      </c>
      <c r="C753" s="27" t="s">
        <v>127</v>
      </c>
      <c r="D753" s="50"/>
      <c r="E753" s="11">
        <v>400</v>
      </c>
      <c r="F753" s="11"/>
      <c r="G753" s="7" t="s">
        <v>128</v>
      </c>
    </row>
    <row r="754" spans="1:7">
      <c r="A754" s="50"/>
      <c r="B754" s="50" t="s">
        <v>6</v>
      </c>
      <c r="C754" s="27" t="s">
        <v>45</v>
      </c>
      <c r="D754" s="50"/>
      <c r="E754" s="11">
        <v>130</v>
      </c>
      <c r="F754" s="11"/>
      <c r="G754" s="7" t="s">
        <v>129</v>
      </c>
    </row>
    <row r="755" spans="1:7">
      <c r="A755" s="50"/>
      <c r="B755" s="50" t="s">
        <v>6</v>
      </c>
      <c r="C755" s="27"/>
      <c r="D755" s="50"/>
      <c r="E755" s="11">
        <v>3000</v>
      </c>
      <c r="F755" s="11"/>
      <c r="G755" s="7"/>
    </row>
    <row r="756" spans="1:7">
      <c r="A756" s="50"/>
      <c r="B756" s="50" t="s">
        <v>6</v>
      </c>
      <c r="C756" s="27" t="s">
        <v>45</v>
      </c>
      <c r="D756" s="50"/>
      <c r="E756" s="11">
        <v>10195</v>
      </c>
      <c r="F756" s="11"/>
      <c r="G756" s="7" t="s">
        <v>130</v>
      </c>
    </row>
    <row r="757" spans="1:7">
      <c r="A757" s="50"/>
      <c r="B757" s="50" t="s">
        <v>6</v>
      </c>
      <c r="C757" s="27" t="s">
        <v>73</v>
      </c>
      <c r="D757" s="50"/>
      <c r="E757" s="11">
        <v>8011.27</v>
      </c>
      <c r="F757" s="11"/>
      <c r="G757" s="7"/>
    </row>
    <row r="758" spans="1:7">
      <c r="A758" s="50"/>
      <c r="B758" s="50" t="s">
        <v>25</v>
      </c>
      <c r="C758" s="27" t="s">
        <v>41</v>
      </c>
      <c r="D758" s="50"/>
      <c r="E758" s="11"/>
      <c r="F758" s="11">
        <f>E759</f>
        <v>27701.27</v>
      </c>
      <c r="G758" s="7"/>
    </row>
    <row r="759" spans="1:7">
      <c r="A759" s="54"/>
      <c r="B759" s="54"/>
      <c r="C759" s="54"/>
      <c r="D759" s="54"/>
      <c r="E759" s="12">
        <f>SUM(E748:E758)</f>
        <v>27701.27</v>
      </c>
      <c r="F759" s="12">
        <f>SUM(F748:F758)</f>
        <v>27701.27</v>
      </c>
      <c r="G759" s="7">
        <f>E759-F759</f>
        <v>0</v>
      </c>
    </row>
    <row r="760" spans="1:7">
      <c r="A760" s="43" t="s">
        <v>27</v>
      </c>
      <c r="B760" s="44"/>
      <c r="C760" s="44"/>
      <c r="D760" s="44"/>
      <c r="E760" s="44"/>
      <c r="F760" s="45"/>
      <c r="G760" s="7"/>
    </row>
    <row r="762" spans="1:7">
      <c r="A762" s="47" t="s">
        <v>0</v>
      </c>
      <c r="B762" s="48"/>
      <c r="C762" s="48"/>
      <c r="D762" s="48"/>
      <c r="E762" s="48"/>
      <c r="F762" s="49"/>
      <c r="G762" s="7"/>
    </row>
    <row r="763" spans="1:7">
      <c r="A763" s="50" t="s">
        <v>1</v>
      </c>
      <c r="B763" s="50"/>
      <c r="C763" s="51"/>
      <c r="D763" s="50" t="s">
        <v>2</v>
      </c>
      <c r="E763" s="8" t="s">
        <v>123</v>
      </c>
      <c r="F763" s="9"/>
      <c r="G763" s="7"/>
    </row>
    <row r="764" spans="1:7">
      <c r="A764" s="50"/>
      <c r="B764" s="50"/>
      <c r="C764" s="52" t="s">
        <v>4</v>
      </c>
      <c r="D764" s="52" t="s">
        <v>5</v>
      </c>
      <c r="E764" s="10" t="s">
        <v>6</v>
      </c>
      <c r="F764" s="10" t="s">
        <v>7</v>
      </c>
      <c r="G764" s="7"/>
    </row>
    <row r="765" spans="1:7">
      <c r="A765" s="50"/>
      <c r="B765" s="50" t="s">
        <v>6</v>
      </c>
      <c r="C765" s="27" t="s">
        <v>18</v>
      </c>
      <c r="D765" s="50"/>
      <c r="E765" s="11">
        <v>3421.23</v>
      </c>
      <c r="F765" s="11"/>
      <c r="G765" s="7"/>
    </row>
    <row r="766" spans="1:7">
      <c r="A766" s="50"/>
      <c r="B766" s="50" t="s">
        <v>6</v>
      </c>
      <c r="C766" s="27" t="s">
        <v>19</v>
      </c>
      <c r="D766" s="50"/>
      <c r="E766" s="11">
        <v>6000</v>
      </c>
      <c r="F766" s="11"/>
      <c r="G766" s="7"/>
    </row>
    <row r="767" spans="1:7">
      <c r="A767" s="50"/>
      <c r="B767" s="50" t="s">
        <v>6</v>
      </c>
      <c r="C767" s="27" t="s">
        <v>20</v>
      </c>
      <c r="D767" s="50"/>
      <c r="E767" s="11">
        <v>8585</v>
      </c>
      <c r="F767" s="11"/>
      <c r="G767" s="7"/>
    </row>
    <row r="768" spans="1:7">
      <c r="A768" s="50"/>
      <c r="B768" s="50" t="s">
        <v>7</v>
      </c>
      <c r="C768" s="27" t="s">
        <v>21</v>
      </c>
      <c r="D768" s="50"/>
      <c r="E768" s="11"/>
      <c r="F768" s="11">
        <v>45.36</v>
      </c>
      <c r="G768" s="7"/>
    </row>
    <row r="769" spans="1:8">
      <c r="A769" s="50"/>
      <c r="B769" s="50" t="s">
        <v>7</v>
      </c>
      <c r="C769" s="27" t="s">
        <v>22</v>
      </c>
      <c r="D769" s="50"/>
      <c r="E769" s="11"/>
      <c r="F769" s="11">
        <v>690</v>
      </c>
      <c r="G769" s="7"/>
    </row>
    <row r="770" spans="1:8">
      <c r="A770" s="50"/>
      <c r="B770" s="50" t="s">
        <v>7</v>
      </c>
      <c r="C770" s="27" t="s">
        <v>23</v>
      </c>
      <c r="D770" s="50"/>
      <c r="E770" s="11"/>
      <c r="F770" s="11">
        <v>85</v>
      </c>
      <c r="G770" s="7"/>
    </row>
    <row r="771" spans="1:8">
      <c r="A771" s="50"/>
      <c r="B771" s="50" t="s">
        <v>7</v>
      </c>
      <c r="C771" s="27" t="s">
        <v>50</v>
      </c>
      <c r="D771" s="50"/>
      <c r="E771" s="11"/>
      <c r="F771" s="11">
        <v>2676</v>
      </c>
      <c r="G771" s="53">
        <f>F771/1.115</f>
        <v>2400</v>
      </c>
      <c r="H771" s="53"/>
    </row>
    <row r="772" spans="1:8">
      <c r="A772" s="50"/>
      <c r="B772" s="50" t="s">
        <v>7</v>
      </c>
      <c r="C772" s="27" t="s">
        <v>48</v>
      </c>
      <c r="D772" s="50"/>
      <c r="E772" s="11"/>
      <c r="F772" s="11">
        <v>390.25</v>
      </c>
      <c r="G772" s="53">
        <f t="shared" ref="G772:G773" si="4">F772/1.115</f>
        <v>350</v>
      </c>
      <c r="H772" s="53"/>
    </row>
    <row r="773" spans="1:8">
      <c r="A773" s="50"/>
      <c r="B773" s="50" t="s">
        <v>7</v>
      </c>
      <c r="C773" s="27" t="s">
        <v>41</v>
      </c>
      <c r="D773" s="50"/>
      <c r="E773" s="11"/>
      <c r="F773" s="11">
        <v>309.62</v>
      </c>
      <c r="G773" s="53">
        <f t="shared" si="4"/>
        <v>277.68609865470853</v>
      </c>
      <c r="H773" s="53"/>
    </row>
    <row r="774" spans="1:8">
      <c r="A774" s="50"/>
      <c r="B774" s="50" t="s">
        <v>25</v>
      </c>
      <c r="C774" s="27" t="s">
        <v>26</v>
      </c>
      <c r="D774" s="50"/>
      <c r="E774" s="11"/>
      <c r="F774" s="11">
        <v>13810</v>
      </c>
      <c r="G774" s="7"/>
    </row>
    <row r="775" spans="1:8">
      <c r="A775" s="54"/>
      <c r="B775" s="54"/>
      <c r="C775" s="54"/>
      <c r="D775" s="54"/>
      <c r="E775" s="12">
        <f>SUM(E765:E774)</f>
        <v>18006.23</v>
      </c>
      <c r="F775" s="12">
        <f>SUM(F765:F774)</f>
        <v>18006.23</v>
      </c>
      <c r="G775" s="7">
        <f>E775-F775</f>
        <v>0</v>
      </c>
    </row>
    <row r="776" spans="1:8">
      <c r="A776" s="43" t="s">
        <v>27</v>
      </c>
      <c r="B776" s="44"/>
      <c r="C776" s="44"/>
      <c r="D776" s="44"/>
      <c r="E776" s="44"/>
      <c r="F776" s="45"/>
      <c r="G776" s="7"/>
    </row>
    <row r="778" spans="1:8">
      <c r="A778" s="47" t="s">
        <v>0</v>
      </c>
      <c r="B778" s="48"/>
      <c r="C778" s="48"/>
      <c r="D778" s="48"/>
      <c r="E778" s="48"/>
      <c r="F778" s="49"/>
      <c r="G778" s="7"/>
    </row>
    <row r="779" spans="1:8">
      <c r="A779" s="50" t="s">
        <v>1</v>
      </c>
      <c r="B779" s="50"/>
      <c r="C779" s="51"/>
      <c r="D779" s="50" t="s">
        <v>2</v>
      </c>
      <c r="E779" s="8" t="s">
        <v>131</v>
      </c>
      <c r="F779" s="9"/>
      <c r="G779" s="7"/>
    </row>
    <row r="780" spans="1:8">
      <c r="A780" s="50"/>
      <c r="B780" s="50"/>
      <c r="C780" s="52" t="s">
        <v>4</v>
      </c>
      <c r="D780" s="52" t="s">
        <v>5</v>
      </c>
      <c r="E780" s="10" t="s">
        <v>6</v>
      </c>
      <c r="F780" s="10" t="s">
        <v>7</v>
      </c>
      <c r="G780" s="7"/>
    </row>
    <row r="781" spans="1:8">
      <c r="A781" s="50"/>
      <c r="B781" s="50" t="s">
        <v>6</v>
      </c>
      <c r="C781" s="27" t="s">
        <v>18</v>
      </c>
      <c r="D781" s="50"/>
      <c r="E781" s="11">
        <v>904</v>
      </c>
      <c r="F781" s="11"/>
      <c r="G781" s="7"/>
    </row>
    <row r="782" spans="1:8">
      <c r="A782" s="50"/>
      <c r="B782" s="50" t="s">
        <v>6</v>
      </c>
      <c r="C782" s="27" t="s">
        <v>19</v>
      </c>
      <c r="D782" s="50"/>
      <c r="E782" s="11">
        <v>1600</v>
      </c>
      <c r="F782" s="11"/>
      <c r="G782" s="7"/>
    </row>
    <row r="783" spans="1:8">
      <c r="A783" s="50"/>
      <c r="B783" s="50" t="s">
        <v>6</v>
      </c>
      <c r="C783" s="27" t="s">
        <v>20</v>
      </c>
      <c r="D783" s="50"/>
      <c r="E783" s="11">
        <v>1515</v>
      </c>
      <c r="F783" s="11"/>
      <c r="G783" s="7"/>
    </row>
    <row r="784" spans="1:8">
      <c r="A784" s="50"/>
      <c r="B784" s="50" t="s">
        <v>7</v>
      </c>
      <c r="C784" s="27" t="s">
        <v>21</v>
      </c>
      <c r="D784" s="50"/>
      <c r="E784" s="11"/>
      <c r="F784" s="11">
        <v>12</v>
      </c>
      <c r="G784" s="7"/>
    </row>
    <row r="785" spans="1:8">
      <c r="A785" s="50"/>
      <c r="B785" s="50" t="s">
        <v>7</v>
      </c>
      <c r="C785" s="27" t="s">
        <v>22</v>
      </c>
      <c r="D785" s="50"/>
      <c r="E785" s="11"/>
      <c r="F785" s="11">
        <v>184</v>
      </c>
      <c r="G785" s="7"/>
    </row>
    <row r="786" spans="1:8">
      <c r="A786" s="50"/>
      <c r="B786" s="50" t="s">
        <v>7</v>
      </c>
      <c r="C786" s="27" t="s">
        <v>23</v>
      </c>
      <c r="D786" s="50"/>
      <c r="E786" s="11"/>
      <c r="F786" s="11">
        <v>15</v>
      </c>
      <c r="G786" s="7"/>
    </row>
    <row r="787" spans="1:8">
      <c r="A787" s="50"/>
      <c r="B787" s="50" t="s">
        <v>7</v>
      </c>
      <c r="C787" s="27" t="s">
        <v>50</v>
      </c>
      <c r="D787" s="50"/>
      <c r="E787" s="11"/>
      <c r="F787" s="11">
        <v>892</v>
      </c>
      <c r="G787" s="53">
        <f>F787/1.115</f>
        <v>800</v>
      </c>
      <c r="H787" s="53"/>
    </row>
    <row r="788" spans="1:8">
      <c r="A788" s="50"/>
      <c r="B788" s="50" t="s">
        <v>25</v>
      </c>
      <c r="C788" s="27" t="s">
        <v>26</v>
      </c>
      <c r="D788" s="50"/>
      <c r="E788" s="11"/>
      <c r="F788" s="11">
        <v>2916</v>
      </c>
      <c r="G788" s="7"/>
    </row>
    <row r="789" spans="1:8">
      <c r="A789" s="54"/>
      <c r="B789" s="54"/>
      <c r="C789" s="54"/>
      <c r="D789" s="54"/>
      <c r="E789" s="12">
        <f>SUM(E781:E788)</f>
        <v>4019</v>
      </c>
      <c r="F789" s="12">
        <f>SUM(F781:F788)</f>
        <v>4019</v>
      </c>
      <c r="G789" s="7">
        <f>E789-F789</f>
        <v>0</v>
      </c>
    </row>
    <row r="790" spans="1:8">
      <c r="A790" s="43" t="s">
        <v>27</v>
      </c>
      <c r="B790" s="44"/>
      <c r="C790" s="44"/>
      <c r="D790" s="44"/>
      <c r="E790" s="44"/>
      <c r="F790" s="45"/>
      <c r="G790" s="7"/>
    </row>
    <row r="792" spans="1:8">
      <c r="A792" s="47" t="s">
        <v>0</v>
      </c>
      <c r="B792" s="48"/>
      <c r="C792" s="48"/>
      <c r="D792" s="48"/>
      <c r="E792" s="48"/>
      <c r="F792" s="49"/>
      <c r="G792" s="7"/>
    </row>
    <row r="793" spans="1:8">
      <c r="A793" s="50" t="s">
        <v>1</v>
      </c>
      <c r="B793" s="50"/>
      <c r="C793" s="51"/>
      <c r="D793" s="50" t="s">
        <v>2</v>
      </c>
      <c r="E793" s="8" t="s">
        <v>132</v>
      </c>
      <c r="F793" s="9"/>
      <c r="G793" s="7"/>
    </row>
    <row r="794" spans="1:8">
      <c r="A794" s="50"/>
      <c r="B794" s="50"/>
      <c r="C794" s="52" t="s">
        <v>4</v>
      </c>
      <c r="D794" s="52" t="s">
        <v>5</v>
      </c>
      <c r="E794" s="10" t="s">
        <v>6</v>
      </c>
      <c r="F794" s="10" t="s">
        <v>7</v>
      </c>
      <c r="G794" s="7"/>
    </row>
    <row r="795" spans="1:8">
      <c r="A795" s="50"/>
      <c r="B795" s="50" t="s">
        <v>6</v>
      </c>
      <c r="C795" s="27" t="s">
        <v>18</v>
      </c>
      <c r="D795" s="50"/>
      <c r="E795" s="11">
        <v>4136.93</v>
      </c>
      <c r="F795" s="11"/>
      <c r="G795" s="7"/>
    </row>
    <row r="796" spans="1:8">
      <c r="A796" s="50"/>
      <c r="B796" s="50" t="s">
        <v>6</v>
      </c>
      <c r="C796" s="27" t="s">
        <v>19</v>
      </c>
      <c r="D796" s="50"/>
      <c r="E796" s="11">
        <v>9800</v>
      </c>
      <c r="F796" s="11"/>
      <c r="G796" s="7"/>
    </row>
    <row r="797" spans="1:8">
      <c r="A797" s="50"/>
      <c r="B797" s="50" t="s">
        <v>6</v>
      </c>
      <c r="C797" s="27" t="s">
        <v>20</v>
      </c>
      <c r="D797" s="50"/>
      <c r="E797" s="11">
        <v>15454</v>
      </c>
      <c r="F797" s="11"/>
      <c r="G797" s="7"/>
    </row>
    <row r="798" spans="1:8">
      <c r="A798" s="50"/>
      <c r="B798" s="50" t="s">
        <v>7</v>
      </c>
      <c r="C798" s="27" t="s">
        <v>21</v>
      </c>
      <c r="D798" s="50"/>
      <c r="E798" s="11"/>
      <c r="F798" s="11">
        <v>54.91</v>
      </c>
      <c r="G798" s="7"/>
    </row>
    <row r="799" spans="1:8">
      <c r="A799" s="50"/>
      <c r="B799" s="50" t="s">
        <v>7</v>
      </c>
      <c r="C799" s="27" t="s">
        <v>22</v>
      </c>
      <c r="D799" s="50"/>
      <c r="E799" s="11"/>
      <c r="F799" s="11">
        <v>1127</v>
      </c>
      <c r="G799" s="7"/>
    </row>
    <row r="800" spans="1:8">
      <c r="A800" s="50"/>
      <c r="B800" s="50" t="s">
        <v>7</v>
      </c>
      <c r="C800" s="27" t="s">
        <v>23</v>
      </c>
      <c r="D800" s="50"/>
      <c r="E800" s="11"/>
      <c r="F800" s="11">
        <v>154</v>
      </c>
      <c r="G800" s="7"/>
    </row>
    <row r="801" spans="1:8">
      <c r="A801" s="50"/>
      <c r="B801" s="50" t="s">
        <v>7</v>
      </c>
      <c r="C801" s="27" t="s">
        <v>48</v>
      </c>
      <c r="D801" s="50"/>
      <c r="E801" s="11"/>
      <c r="F801" s="11">
        <v>200.7</v>
      </c>
      <c r="G801" s="53">
        <f>F801/1.115</f>
        <v>180</v>
      </c>
      <c r="H801" s="53"/>
    </row>
    <row r="802" spans="1:8">
      <c r="A802" s="50"/>
      <c r="B802" s="50" t="s">
        <v>7</v>
      </c>
      <c r="C802" s="27" t="s">
        <v>53</v>
      </c>
      <c r="D802" s="50"/>
      <c r="E802" s="11"/>
      <c r="F802" s="11">
        <v>278.75</v>
      </c>
      <c r="G802" s="53">
        <f t="shared" ref="G802:G804" si="5">F802/1.115</f>
        <v>250</v>
      </c>
      <c r="H802" s="53"/>
    </row>
    <row r="803" spans="1:8">
      <c r="A803" s="50"/>
      <c r="B803" s="50" t="s">
        <v>7</v>
      </c>
      <c r="C803" s="27" t="s">
        <v>49</v>
      </c>
      <c r="D803" s="50"/>
      <c r="E803" s="11"/>
      <c r="F803" s="11">
        <v>2023.73</v>
      </c>
      <c r="G803" s="53">
        <f t="shared" si="5"/>
        <v>1815.0044843049327</v>
      </c>
      <c r="H803" s="53"/>
    </row>
    <row r="804" spans="1:8">
      <c r="A804" s="50"/>
      <c r="B804" s="50" t="s">
        <v>7</v>
      </c>
      <c r="C804" s="27" t="s">
        <v>56</v>
      </c>
      <c r="D804" s="50"/>
      <c r="E804" s="11"/>
      <c r="F804" s="11">
        <v>1578.84</v>
      </c>
      <c r="G804" s="53">
        <f t="shared" si="5"/>
        <v>1416</v>
      </c>
      <c r="H804" s="53"/>
    </row>
    <row r="805" spans="1:8">
      <c r="A805" s="50"/>
      <c r="B805" s="50" t="s">
        <v>25</v>
      </c>
      <c r="C805" s="27" t="s">
        <v>26</v>
      </c>
      <c r="D805" s="50"/>
      <c r="E805" s="11"/>
      <c r="F805" s="11">
        <v>23973</v>
      </c>
      <c r="G805" s="7"/>
    </row>
    <row r="806" spans="1:8">
      <c r="A806" s="54"/>
      <c r="B806" s="54"/>
      <c r="C806" s="54"/>
      <c r="D806" s="54"/>
      <c r="E806" s="12">
        <f>SUM(E795:E805)</f>
        <v>29390.93</v>
      </c>
      <c r="F806" s="12">
        <f>SUM(F795:F805)</f>
        <v>29390.93</v>
      </c>
      <c r="G806" s="7">
        <f>E806-F806</f>
        <v>0</v>
      </c>
    </row>
    <row r="807" spans="1:8">
      <c r="A807" s="43" t="s">
        <v>27</v>
      </c>
      <c r="B807" s="44"/>
      <c r="C807" s="44"/>
      <c r="D807" s="44"/>
      <c r="E807" s="44"/>
      <c r="F807" s="45"/>
      <c r="G807" s="7"/>
    </row>
    <row r="809" spans="1:8">
      <c r="A809" s="47" t="s">
        <v>0</v>
      </c>
      <c r="B809" s="48"/>
      <c r="C809" s="48"/>
      <c r="D809" s="48"/>
      <c r="E809" s="48"/>
      <c r="F809" s="49"/>
      <c r="G809" s="7"/>
    </row>
    <row r="810" spans="1:8">
      <c r="A810" s="50" t="s">
        <v>1</v>
      </c>
      <c r="B810" s="50"/>
      <c r="C810" s="51"/>
      <c r="D810" s="50" t="s">
        <v>2</v>
      </c>
      <c r="E810" s="8" t="s">
        <v>133</v>
      </c>
      <c r="F810" s="9"/>
      <c r="G810" s="7"/>
    </row>
    <row r="811" spans="1:8">
      <c r="A811" s="50"/>
      <c r="B811" s="50"/>
      <c r="C811" s="52" t="s">
        <v>4</v>
      </c>
      <c r="D811" s="52" t="s">
        <v>5</v>
      </c>
      <c r="E811" s="10" t="s">
        <v>6</v>
      </c>
      <c r="F811" s="10" t="s">
        <v>7</v>
      </c>
      <c r="G811" s="7"/>
    </row>
    <row r="812" spans="1:8">
      <c r="A812" s="50"/>
      <c r="B812" s="50" t="s">
        <v>6</v>
      </c>
      <c r="C812" s="27" t="s">
        <v>126</v>
      </c>
      <c r="D812" s="50"/>
      <c r="E812" s="11">
        <v>500</v>
      </c>
      <c r="F812" s="11"/>
      <c r="G812" s="7"/>
    </row>
    <row r="813" spans="1:8">
      <c r="A813" s="50"/>
      <c r="B813" s="50" t="s">
        <v>6</v>
      </c>
      <c r="C813" s="27" t="s">
        <v>45</v>
      </c>
      <c r="D813" s="50"/>
      <c r="E813" s="11">
        <v>54</v>
      </c>
      <c r="F813" s="11"/>
      <c r="G813" s="7"/>
    </row>
    <row r="814" spans="1:8">
      <c r="A814" s="50"/>
      <c r="B814" s="50" t="s">
        <v>6</v>
      </c>
      <c r="C814" s="27" t="s">
        <v>45</v>
      </c>
      <c r="D814" s="50"/>
      <c r="E814" s="11">
        <v>21</v>
      </c>
      <c r="F814" s="11"/>
      <c r="G814" s="7"/>
    </row>
    <row r="815" spans="1:8">
      <c r="A815" s="50"/>
      <c r="B815" s="50" t="s">
        <v>6</v>
      </c>
      <c r="C815" s="27" t="s">
        <v>47</v>
      </c>
      <c r="D815" s="50"/>
      <c r="E815" s="11">
        <v>120</v>
      </c>
      <c r="F815" s="11"/>
      <c r="G815" s="7"/>
    </row>
    <row r="816" spans="1:8">
      <c r="A816" s="50"/>
      <c r="B816" s="50" t="s">
        <v>6</v>
      </c>
      <c r="C816" s="27" t="s">
        <v>46</v>
      </c>
      <c r="D816" s="50"/>
      <c r="E816" s="11">
        <v>160</v>
      </c>
      <c r="F816" s="11"/>
      <c r="G816" s="7"/>
    </row>
    <row r="817" spans="1:8">
      <c r="A817" s="50"/>
      <c r="B817" s="50" t="s">
        <v>25</v>
      </c>
      <c r="C817" s="27" t="s">
        <v>41</v>
      </c>
      <c r="D817" s="50"/>
      <c r="E817" s="11"/>
      <c r="F817" s="11">
        <f>E818</f>
        <v>855</v>
      </c>
      <c r="G817" s="7"/>
    </row>
    <row r="818" spans="1:8">
      <c r="A818" s="54"/>
      <c r="B818" s="54"/>
      <c r="C818" s="54"/>
      <c r="D818" s="54"/>
      <c r="E818" s="12">
        <f>SUM(E812:E817)</f>
        <v>855</v>
      </c>
      <c r="F818" s="12">
        <f>SUM(F812:F817)</f>
        <v>855</v>
      </c>
      <c r="G818" s="7">
        <f>E818-F818</f>
        <v>0</v>
      </c>
    </row>
    <row r="819" spans="1:8">
      <c r="A819" s="43" t="s">
        <v>27</v>
      </c>
      <c r="B819" s="44"/>
      <c r="C819" s="44"/>
      <c r="D819" s="44"/>
      <c r="E819" s="44"/>
      <c r="F819" s="45"/>
      <c r="G819" s="7"/>
    </row>
    <row r="821" spans="1:8">
      <c r="A821" s="47" t="s">
        <v>0</v>
      </c>
      <c r="B821" s="48"/>
      <c r="C821" s="48"/>
      <c r="D821" s="48"/>
      <c r="E821" s="48"/>
      <c r="F821" s="49"/>
      <c r="G821" s="7"/>
    </row>
    <row r="822" spans="1:8">
      <c r="A822" s="50" t="s">
        <v>1</v>
      </c>
      <c r="B822" s="50"/>
      <c r="C822" s="51"/>
      <c r="D822" s="50" t="s">
        <v>2</v>
      </c>
      <c r="E822" s="8" t="s">
        <v>133</v>
      </c>
      <c r="F822" s="9"/>
      <c r="G822" s="7"/>
    </row>
    <row r="823" spans="1:8">
      <c r="A823" s="50"/>
      <c r="B823" s="50"/>
      <c r="C823" s="52" t="s">
        <v>4</v>
      </c>
      <c r="D823" s="52" t="s">
        <v>5</v>
      </c>
      <c r="E823" s="10" t="s">
        <v>6</v>
      </c>
      <c r="F823" s="10" t="s">
        <v>7</v>
      </c>
      <c r="G823" s="7"/>
    </row>
    <row r="824" spans="1:8">
      <c r="A824" s="50"/>
      <c r="B824" s="50" t="s">
        <v>6</v>
      </c>
      <c r="C824" s="27" t="s">
        <v>18</v>
      </c>
      <c r="D824" s="50"/>
      <c r="E824" s="11">
        <v>1237.3499999999999</v>
      </c>
      <c r="F824" s="11"/>
      <c r="G824" s="7"/>
    </row>
    <row r="825" spans="1:8">
      <c r="A825" s="50"/>
      <c r="B825" s="50" t="s">
        <v>6</v>
      </c>
      <c r="C825" s="27" t="s">
        <v>19</v>
      </c>
      <c r="D825" s="50"/>
      <c r="E825" s="11">
        <v>6000</v>
      </c>
      <c r="F825" s="11"/>
      <c r="G825" s="7"/>
    </row>
    <row r="826" spans="1:8">
      <c r="A826" s="50"/>
      <c r="B826" s="50" t="s">
        <v>6</v>
      </c>
      <c r="C826" s="27" t="s">
        <v>20</v>
      </c>
      <c r="D826" s="50"/>
      <c r="E826" s="11">
        <v>7171</v>
      </c>
      <c r="F826" s="11"/>
      <c r="G826" s="7"/>
    </row>
    <row r="827" spans="1:8">
      <c r="A827" s="50"/>
      <c r="B827" s="50" t="s">
        <v>7</v>
      </c>
      <c r="C827" s="27" t="s">
        <v>21</v>
      </c>
      <c r="D827" s="50"/>
      <c r="E827" s="11"/>
      <c r="F827" s="11">
        <v>16.420000000000002</v>
      </c>
      <c r="G827" s="7"/>
    </row>
    <row r="828" spans="1:8">
      <c r="A828" s="50"/>
      <c r="B828" s="50" t="s">
        <v>7</v>
      </c>
      <c r="C828" s="27" t="s">
        <v>22</v>
      </c>
      <c r="D828" s="50"/>
      <c r="E828" s="11"/>
      <c r="F828" s="11">
        <v>690</v>
      </c>
      <c r="G828" s="7"/>
    </row>
    <row r="829" spans="1:8">
      <c r="A829" s="50"/>
      <c r="B829" s="50" t="s">
        <v>7</v>
      </c>
      <c r="C829" s="27" t="s">
        <v>23</v>
      </c>
      <c r="D829" s="50"/>
      <c r="E829" s="11"/>
      <c r="F829" s="11">
        <v>71</v>
      </c>
      <c r="G829" s="7"/>
    </row>
    <row r="830" spans="1:8">
      <c r="A830" s="50"/>
      <c r="B830" s="50" t="s">
        <v>7</v>
      </c>
      <c r="C830" s="27" t="s">
        <v>49</v>
      </c>
      <c r="D830" s="50"/>
      <c r="E830" s="11"/>
      <c r="F830" s="11">
        <v>1020.23</v>
      </c>
      <c r="G830" s="53">
        <f>F830/1.115</f>
        <v>915.0044843049327</v>
      </c>
      <c r="H830" s="53"/>
    </row>
    <row r="831" spans="1:8">
      <c r="A831" s="50"/>
      <c r="B831" s="50" t="s">
        <v>7</v>
      </c>
      <c r="C831" s="27" t="s">
        <v>48</v>
      </c>
      <c r="D831" s="50"/>
      <c r="E831" s="11"/>
      <c r="F831" s="11">
        <v>200.7</v>
      </c>
      <c r="G831" s="53">
        <f t="shared" ref="G831" si="6">F831/1.115</f>
        <v>180</v>
      </c>
      <c r="H831" s="53"/>
    </row>
    <row r="832" spans="1:8">
      <c r="A832" s="50"/>
      <c r="B832" s="50" t="s">
        <v>25</v>
      </c>
      <c r="C832" s="27" t="s">
        <v>26</v>
      </c>
      <c r="D832" s="50"/>
      <c r="E832" s="11"/>
      <c r="F832" s="11">
        <v>12410</v>
      </c>
      <c r="G832" s="7"/>
    </row>
    <row r="833" spans="1:7">
      <c r="A833" s="54"/>
      <c r="B833" s="54"/>
      <c r="C833" s="54"/>
      <c r="D833" s="54"/>
      <c r="E833" s="12">
        <f>SUM(E824:E832)</f>
        <v>14408.35</v>
      </c>
      <c r="F833" s="12">
        <f>SUM(F824:F832)</f>
        <v>14408.35</v>
      </c>
      <c r="G833" s="7">
        <f>E833-F833</f>
        <v>0</v>
      </c>
    </row>
    <row r="834" spans="1:7">
      <c r="A834" s="43" t="s">
        <v>27</v>
      </c>
      <c r="B834" s="44"/>
      <c r="C834" s="44"/>
      <c r="D834" s="44"/>
      <c r="E834" s="44"/>
      <c r="F834" s="45"/>
      <c r="G834" s="7"/>
    </row>
  </sheetData>
  <mergeCells count="234">
    <mergeCell ref="A809:F809"/>
    <mergeCell ref="E810:F810"/>
    <mergeCell ref="A819:F819"/>
    <mergeCell ref="A821:F821"/>
    <mergeCell ref="E822:F822"/>
    <mergeCell ref="A834:F834"/>
    <mergeCell ref="A778:F778"/>
    <mergeCell ref="E779:F779"/>
    <mergeCell ref="A790:F790"/>
    <mergeCell ref="A792:F792"/>
    <mergeCell ref="E793:F793"/>
    <mergeCell ref="A807:F807"/>
    <mergeCell ref="A745:F745"/>
    <mergeCell ref="E746:F746"/>
    <mergeCell ref="A760:F760"/>
    <mergeCell ref="A762:F762"/>
    <mergeCell ref="E763:F763"/>
    <mergeCell ref="A776:F776"/>
    <mergeCell ref="A715:F715"/>
    <mergeCell ref="E716:F716"/>
    <mergeCell ref="A723:F723"/>
    <mergeCell ref="A725:F725"/>
    <mergeCell ref="E726:F726"/>
    <mergeCell ref="A743:F743"/>
    <mergeCell ref="A695:F695"/>
    <mergeCell ref="E696:F696"/>
    <mergeCell ref="A703:F703"/>
    <mergeCell ref="A705:F705"/>
    <mergeCell ref="E706:F706"/>
    <mergeCell ref="A713:F713"/>
    <mergeCell ref="A675:F675"/>
    <mergeCell ref="E676:F676"/>
    <mergeCell ref="A683:F683"/>
    <mergeCell ref="A685:F685"/>
    <mergeCell ref="E686:F686"/>
    <mergeCell ref="A693:F693"/>
    <mergeCell ref="A655:F655"/>
    <mergeCell ref="E656:F656"/>
    <mergeCell ref="A663:F663"/>
    <mergeCell ref="A665:F665"/>
    <mergeCell ref="E666:F666"/>
    <mergeCell ref="A673:F673"/>
    <mergeCell ref="A635:F635"/>
    <mergeCell ref="E636:F636"/>
    <mergeCell ref="A643:F643"/>
    <mergeCell ref="A645:F645"/>
    <mergeCell ref="E646:F646"/>
    <mergeCell ref="A653:F653"/>
    <mergeCell ref="A615:F615"/>
    <mergeCell ref="E616:F616"/>
    <mergeCell ref="A623:F623"/>
    <mergeCell ref="A625:F625"/>
    <mergeCell ref="E626:F626"/>
    <mergeCell ref="A633:F633"/>
    <mergeCell ref="A591:F591"/>
    <mergeCell ref="E592:F592"/>
    <mergeCell ref="A603:F603"/>
    <mergeCell ref="A605:F605"/>
    <mergeCell ref="E606:F606"/>
    <mergeCell ref="A613:F613"/>
    <mergeCell ref="A569:F569"/>
    <mergeCell ref="E570:F570"/>
    <mergeCell ref="A578:F578"/>
    <mergeCell ref="A580:F580"/>
    <mergeCell ref="E581:F581"/>
    <mergeCell ref="A589:F589"/>
    <mergeCell ref="A547:F547"/>
    <mergeCell ref="E548:F548"/>
    <mergeCell ref="A556:F556"/>
    <mergeCell ref="A558:F558"/>
    <mergeCell ref="E559:F559"/>
    <mergeCell ref="A567:F567"/>
    <mergeCell ref="A526:F526"/>
    <mergeCell ref="E527:F527"/>
    <mergeCell ref="A534:F534"/>
    <mergeCell ref="A536:F536"/>
    <mergeCell ref="E537:F537"/>
    <mergeCell ref="A545:F545"/>
    <mergeCell ref="A510:F510"/>
    <mergeCell ref="E511:F511"/>
    <mergeCell ref="A516:F516"/>
    <mergeCell ref="A518:F518"/>
    <mergeCell ref="E519:F519"/>
    <mergeCell ref="A524:F524"/>
    <mergeCell ref="A494:F494"/>
    <mergeCell ref="E495:F495"/>
    <mergeCell ref="A500:F500"/>
    <mergeCell ref="A502:F502"/>
    <mergeCell ref="E503:F503"/>
    <mergeCell ref="A508:F508"/>
    <mergeCell ref="A478:F478"/>
    <mergeCell ref="E479:F479"/>
    <mergeCell ref="A484:F484"/>
    <mergeCell ref="A486:F486"/>
    <mergeCell ref="E487:F487"/>
    <mergeCell ref="A492:F492"/>
    <mergeCell ref="A456:F456"/>
    <mergeCell ref="E457:F457"/>
    <mergeCell ref="A465:F465"/>
    <mergeCell ref="A467:F467"/>
    <mergeCell ref="E468:F468"/>
    <mergeCell ref="A476:F476"/>
    <mergeCell ref="A434:F434"/>
    <mergeCell ref="E435:F435"/>
    <mergeCell ref="A443:F443"/>
    <mergeCell ref="A445:F445"/>
    <mergeCell ref="E446:F446"/>
    <mergeCell ref="A454:F454"/>
    <mergeCell ref="A412:F412"/>
    <mergeCell ref="E413:F413"/>
    <mergeCell ref="A421:F421"/>
    <mergeCell ref="A423:F423"/>
    <mergeCell ref="E424:F424"/>
    <mergeCell ref="A432:F432"/>
    <mergeCell ref="A394:F394"/>
    <mergeCell ref="E395:F395"/>
    <mergeCell ref="A400:F400"/>
    <mergeCell ref="A402:F402"/>
    <mergeCell ref="E403:F403"/>
    <mergeCell ref="A410:F410"/>
    <mergeCell ref="A378:F378"/>
    <mergeCell ref="E379:F379"/>
    <mergeCell ref="A384:F384"/>
    <mergeCell ref="A386:F386"/>
    <mergeCell ref="E387:F387"/>
    <mergeCell ref="A392:F392"/>
    <mergeCell ref="A348:F348"/>
    <mergeCell ref="E349:F349"/>
    <mergeCell ref="A361:F361"/>
    <mergeCell ref="A363:F363"/>
    <mergeCell ref="E364:F364"/>
    <mergeCell ref="A376:F376"/>
    <mergeCell ref="A331:F331"/>
    <mergeCell ref="E332:F332"/>
    <mergeCell ref="A338:F338"/>
    <mergeCell ref="A340:F340"/>
    <mergeCell ref="E341:F341"/>
    <mergeCell ref="A346:F346"/>
    <mergeCell ref="A307:F307"/>
    <mergeCell ref="E308:F308"/>
    <mergeCell ref="A321:F321"/>
    <mergeCell ref="A323:F323"/>
    <mergeCell ref="E324:F324"/>
    <mergeCell ref="A329:F329"/>
    <mergeCell ref="A278:F278"/>
    <mergeCell ref="E279:F279"/>
    <mergeCell ref="A292:F292"/>
    <mergeCell ref="A294:F294"/>
    <mergeCell ref="E295:F295"/>
    <mergeCell ref="A305:F305"/>
    <mergeCell ref="A253:F253"/>
    <mergeCell ref="E254:F254"/>
    <mergeCell ref="A259:F259"/>
    <mergeCell ref="A261:F261"/>
    <mergeCell ref="E262:F262"/>
    <mergeCell ref="A276:F276"/>
    <mergeCell ref="A231:F231"/>
    <mergeCell ref="E232:F232"/>
    <mergeCell ref="A243:F243"/>
    <mergeCell ref="A245:F245"/>
    <mergeCell ref="E246:F246"/>
    <mergeCell ref="A251:F251"/>
    <mergeCell ref="A213:F213"/>
    <mergeCell ref="E214:F214"/>
    <mergeCell ref="A220:F220"/>
    <mergeCell ref="A222:F222"/>
    <mergeCell ref="E223:F223"/>
    <mergeCell ref="A229:F229"/>
    <mergeCell ref="A195:F195"/>
    <mergeCell ref="E196:F196"/>
    <mergeCell ref="A202:F202"/>
    <mergeCell ref="A204:F204"/>
    <mergeCell ref="E205:F205"/>
    <mergeCell ref="A211:F211"/>
    <mergeCell ref="A177:F177"/>
    <mergeCell ref="E178:F178"/>
    <mergeCell ref="A184:F184"/>
    <mergeCell ref="A186:F186"/>
    <mergeCell ref="E187:F187"/>
    <mergeCell ref="A193:F193"/>
    <mergeCell ref="A159:F159"/>
    <mergeCell ref="E160:F160"/>
    <mergeCell ref="A166:F166"/>
    <mergeCell ref="A168:F168"/>
    <mergeCell ref="E169:F169"/>
    <mergeCell ref="A175:F175"/>
    <mergeCell ref="A136:F136"/>
    <mergeCell ref="E137:F137"/>
    <mergeCell ref="A148:F148"/>
    <mergeCell ref="A150:F150"/>
    <mergeCell ref="E151:F151"/>
    <mergeCell ref="A157:F157"/>
    <mergeCell ref="A120:F120"/>
    <mergeCell ref="E121:F121"/>
    <mergeCell ref="A126:F126"/>
    <mergeCell ref="A128:F128"/>
    <mergeCell ref="E129:F129"/>
    <mergeCell ref="A134:F134"/>
    <mergeCell ref="A100:F100"/>
    <mergeCell ref="E101:F101"/>
    <mergeCell ref="A108:F108"/>
    <mergeCell ref="A110:F110"/>
    <mergeCell ref="E111:F111"/>
    <mergeCell ref="A118:F118"/>
    <mergeCell ref="A80:F80"/>
    <mergeCell ref="E81:F81"/>
    <mergeCell ref="A88:F88"/>
    <mergeCell ref="A90:F90"/>
    <mergeCell ref="E91:F91"/>
    <mergeCell ref="A98:F98"/>
    <mergeCell ref="A60:F60"/>
    <mergeCell ref="E61:F61"/>
    <mergeCell ref="A68:F68"/>
    <mergeCell ref="A70:F70"/>
    <mergeCell ref="E71:F71"/>
    <mergeCell ref="A78:F78"/>
    <mergeCell ref="A40:F40"/>
    <mergeCell ref="E41:F41"/>
    <mergeCell ref="A48:F48"/>
    <mergeCell ref="A50:F50"/>
    <mergeCell ref="E51:F51"/>
    <mergeCell ref="A58:F58"/>
    <mergeCell ref="A20:F20"/>
    <mergeCell ref="E21:F21"/>
    <mergeCell ref="A28:F28"/>
    <mergeCell ref="A30:F30"/>
    <mergeCell ref="E31:F31"/>
    <mergeCell ref="A38:F38"/>
    <mergeCell ref="A1:F1"/>
    <mergeCell ref="E2:F2"/>
    <mergeCell ref="A9:F9"/>
    <mergeCell ref="A11:F11"/>
    <mergeCell ref="E12:F12"/>
    <mergeCell ref="A18:F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rabiii</dc:creator>
  <cp:lastModifiedBy>rabiii</cp:lastModifiedBy>
  <dcterms:created xsi:type="dcterms:W3CDTF">2026-07-12T03:46:17Z</dcterms:created>
  <dcterms:modified xsi:type="dcterms:W3CDTF">2026-07-12T03:47:02Z</dcterms:modified>
</cp:coreProperties>
</file>